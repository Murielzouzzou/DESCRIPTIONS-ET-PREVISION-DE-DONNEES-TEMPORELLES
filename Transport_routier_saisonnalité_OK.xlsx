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urie\OneDrive\Documents\"/>
    </mc:Choice>
  </mc:AlternateContent>
  <bookViews>
    <workbookView xWindow="0" yWindow="0" windowWidth="23040" windowHeight="8304" activeTab="1"/>
  </bookViews>
  <sheets>
    <sheet name="Données" sheetId="4" r:id="rId1"/>
    <sheet name="transport_routier (procédés)" sheetId="1" r:id="rId2"/>
    <sheet name="Modèle additif" sheetId="3" r:id="rId3"/>
    <sheet name="commentaire" sheetId="2" r:id="rId4"/>
  </sheets>
  <definedNames>
    <definedName name="_xlnm._FilterDatabase" localSheetId="0" hidden="1">Données!$A$1:$B$85</definedName>
    <definedName name="_xlnm._FilterDatabase" localSheetId="1" hidden="1">'transport_routier (procédés)'!$A$1:$D$1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9" i="1" l="1"/>
  <c r="L40" i="1"/>
  <c r="L41" i="1"/>
  <c r="L42" i="1"/>
  <c r="L43" i="1"/>
  <c r="L44" i="1"/>
  <c r="L45" i="1"/>
  <c r="L46" i="1"/>
  <c r="L47" i="1"/>
  <c r="L48" i="1"/>
  <c r="L49" i="1"/>
  <c r="L38" i="1"/>
  <c r="H49" i="1"/>
  <c r="H39" i="1"/>
  <c r="H40" i="1"/>
  <c r="H41" i="1"/>
  <c r="H42" i="1"/>
  <c r="H43" i="1"/>
  <c r="H44" i="1"/>
  <c r="H45" i="1"/>
  <c r="H46" i="1"/>
  <c r="H47" i="1"/>
  <c r="H48" i="1"/>
  <c r="H38"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2" i="1"/>
  <c r="J9" i="1"/>
  <c r="J10" i="1"/>
  <c r="J11" i="1"/>
  <c r="J12" i="1"/>
  <c r="J13" i="1"/>
  <c r="J14" i="1"/>
  <c r="J15" i="1"/>
  <c r="J16" i="1"/>
  <c r="J17" i="1"/>
  <c r="J18" i="1"/>
  <c r="J19" i="1"/>
  <c r="J20" i="1"/>
  <c r="J21" i="1"/>
  <c r="J22" i="1"/>
  <c r="J23" i="1"/>
  <c r="J24" i="1"/>
  <c r="J25" i="1"/>
  <c r="J26" i="1"/>
  <c r="J27" i="1"/>
  <c r="J28" i="1"/>
  <c r="J29" i="1"/>
  <c r="J30" i="1"/>
  <c r="J31" i="1"/>
  <c r="J8"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2"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F9" i="1"/>
  <c r="F10" i="1"/>
  <c r="F11" i="1"/>
  <c r="F12" i="1"/>
  <c r="F13" i="1"/>
  <c r="F14" i="1"/>
  <c r="F15" i="1"/>
  <c r="F16" i="1"/>
  <c r="F17" i="1"/>
  <c r="F18" i="1"/>
  <c r="F19" i="1"/>
  <c r="F20" i="1"/>
  <c r="F21" i="1"/>
  <c r="F22" i="1"/>
  <c r="F23" i="1"/>
  <c r="F24" i="1"/>
  <c r="F25" i="1"/>
  <c r="F26" i="1"/>
  <c r="F27" i="1"/>
  <c r="F28" i="1"/>
  <c r="F29" i="1"/>
  <c r="F30" i="1"/>
  <c r="F31" i="1"/>
  <c r="F8" i="1"/>
  <c r="E9" i="1"/>
  <c r="E10" i="1"/>
  <c r="E11" i="1"/>
  <c r="E12" i="1"/>
  <c r="E13" i="1"/>
  <c r="E14" i="1"/>
  <c r="E15" i="1"/>
  <c r="E16" i="1"/>
  <c r="E17" i="1"/>
  <c r="E18" i="1"/>
  <c r="E19" i="1"/>
  <c r="E20" i="1"/>
  <c r="E21" i="1"/>
  <c r="E22" i="1"/>
  <c r="E23" i="1"/>
  <c r="E24" i="1"/>
  <c r="E25" i="1"/>
  <c r="E26" i="1"/>
  <c r="E27" i="1"/>
  <c r="E28" i="1"/>
  <c r="E29" i="1"/>
  <c r="E30" i="1"/>
  <c r="E31" i="1"/>
  <c r="E8" i="1"/>
</calcChain>
</file>

<file path=xl/sharedStrings.xml><?xml version="1.0" encoding="utf-8"?>
<sst xmlns="http://schemas.openxmlformats.org/spreadsheetml/2006/main" count="158" uniqueCount="64">
  <si>
    <t>Date</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</si>
  <si>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</si>
  <si>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</si>
  <si>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</si>
  <si>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</si>
  <si>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</si>
  <si>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</si>
  <si>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</si>
  <si>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</si>
  <si>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</si>
  <si>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</si>
  <si>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</si>
  <si>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</si>
  <si>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</si>
  <si>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</si>
  <si>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</si>
  <si>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</si>
  <si>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</si>
  <si>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</si>
  <si>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</si>
  <si>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</si>
  <si>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</si>
  <si>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</si>
  <si>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</si>
  <si>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</si>
  <si>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</si>
  <si>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</si>
  <si>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</si>
  <si>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</si>
  <si>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</si>
  <si>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</si>
  <si>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</si>
  <si>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</si>
  <si>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</si>
  <si>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</si>
  <si>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</si>
  <si>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</si>
  <si>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Volume de transport (tonnes) : Valeur observée</t>
  </si>
  <si>
    <t>mois</t>
  </si>
  <si>
    <t>annees</t>
  </si>
  <si>
    <t>2021</t>
  </si>
  <si>
    <t>2022</t>
  </si>
  <si>
    <t>2023</t>
  </si>
  <si>
    <t>Moyenne mobile (12 mois)</t>
  </si>
  <si>
    <t>Ecart : y t - moyenne mobile(12)</t>
  </si>
  <si>
    <t>s' j</t>
  </si>
  <si>
    <t>s j</t>
  </si>
  <si>
    <t>Série CVS : y t - s t</t>
  </si>
  <si>
    <t>Résidus : y t -Moyenne mobile(12)-s j</t>
  </si>
  <si>
    <t xml:space="preserve">Modélisation par MCO saisonnière </t>
  </si>
  <si>
    <t>Prévision</t>
  </si>
  <si>
    <t>2024-01</t>
  </si>
  <si>
    <t>2024-02</t>
  </si>
  <si>
    <t>2024-03</t>
  </si>
  <si>
    <t>2024-04</t>
  </si>
  <si>
    <t>2024-05</t>
  </si>
  <si>
    <t>2024-06</t>
  </si>
  <si>
    <t>2024-07</t>
  </si>
  <si>
    <t>2024-09</t>
  </si>
  <si>
    <t>2024-10</t>
  </si>
  <si>
    <t>2024-11</t>
  </si>
  <si>
    <t>2024-12</t>
  </si>
  <si>
    <t>2024-08</t>
  </si>
  <si>
    <t>A prévoir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</si>
</sst>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
  </numFmts>
  <fonts count="5"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FF0000"/>
      <name val="Calibri"/>
      <family val="2"/>
      <scheme val="minor"/>
    </font>
    <font>
      <b/>
      <sz val="1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2"/>
        <bgColor indexed="64"/>
      </patternFill>
    </fill>
    <fill>
      <patternFill patternType="solid">
        <fgColor rgb="FF96969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rgb="FFFF0000"/>
      </bottom>
      <diagonal/>
    </border>
    <border>
      <left style="thin">
        <color rgb="FFFF0000"/>
      </left>
      <right style="thin">
        <color rgb="FFFF0000"/>
      </right>
      <top style="thin">
        <color rgb="FFFF0000"/>
      </top>
      <bottom style="thin">
        <color rgb="FFFF0000"/>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rgb="FFFF0000"/>
      </left>
      <right style="thin">
        <color rgb="FFFF0000"/>
      </right>
      <top style="thin">
        <color rgb="FFFF0000"/>
      </top>
      <bottom/>
      <diagonal/>
    </border>
  </borders>
  <cellStyleXfs count="1">
    <xf numFmtId="0" fontId="0" fillId="0" borderId="0"/>
  </cellStyleXfs>
  <cellXfs count="50">
    <xf numFmtId="0" fontId="0" fillId="0" borderId="0" xfId="0"/>
    <xf numFmtId="0" fontId="0" fillId="0" borderId="0" xfId="0" applyNumberFormat="1" applyAlignment="1">
      <alignment vertical="center" wrapText="1"/>
    </xf>
    <xf numFmtId="0" fontId="0" fillId="0" borderId="0" xfId="0" applyNumberFormat="1" applyFill="1" applyAlignment="1">
      <alignment vertical="center" wrapText="1"/>
    </xf>
    <xf numFmtId="0" fontId="0" fillId="3" borderId="0" xfId="0" applyNumberFormat="1" applyFill="1"/>
    <xf numFmtId="0" fontId="0" fillId="2" borderId="0" xfId="0" applyFill="1"/>
    <xf numFmtId="0" fontId="2" fillId="0" borderId="0" xfId="0" applyFont="1" applyFill="1" applyBorder="1"/>
    <xf numFmtId="0" fontId="0" fillId="0" borderId="0" xfId="0" applyFill="1"/>
    <xf numFmtId="0" fontId="0" fillId="0" borderId="0" xfId="0" applyNumberFormat="1" applyFill="1"/>
    <xf numFmtId="0" fontId="2" fillId="0" borderId="0" xfId="0" applyFont="1" applyFill="1"/>
    <xf numFmtId="164" fontId="0" fillId="0" borderId="0" xfId="0" applyNumberFormat="1" applyFill="1"/>
    <xf numFmtId="0" fontId="2" fillId="0" borderId="0" xfId="0" applyNumberFormat="1" applyFont="1" applyFill="1" applyAlignment="1">
      <alignment vertical="center" wrapText="1"/>
    </xf>
    <xf numFmtId="164" fontId="0" fillId="3" borderId="0" xfId="0" applyNumberFormat="1" applyFill="1" applyAlignment="1">
      <alignment vertical="center" wrapText="1"/>
    </xf>
    <xf numFmtId="0" fontId="0" fillId="3" borderId="0" xfId="0" applyNumberFormat="1" applyFill="1" applyAlignment="1">
      <alignment vertical="center" wrapText="1"/>
    </xf>
    <xf numFmtId="0" fontId="0" fillId="4" borderId="1" xfId="0" applyNumberFormat="1" applyFill="1" applyBorder="1" applyAlignment="1">
      <alignment vertical="center" wrapText="1"/>
    </xf>
    <xf numFmtId="0" fontId="0" fillId="4" borderId="1" xfId="0" applyNumberFormat="1" applyFill="1" applyBorder="1"/>
    <xf numFmtId="0" fontId="0" fillId="4" borderId="2" xfId="0" applyNumberFormat="1" applyFill="1" applyBorder="1" applyAlignment="1">
      <alignment vertical="center" wrapText="1"/>
    </xf>
    <xf numFmtId="0" fontId="0" fillId="4" borderId="2" xfId="0" applyNumberFormat="1" applyFill="1" applyBorder="1"/>
    <xf numFmtId="0" fontId="0" fillId="0" borderId="0" xfId="0" applyFill="1" applyBorder="1"/>
    <xf numFmtId="0" fontId="0" fillId="0" borderId="3" xfId="0" applyFill="1" applyBorder="1"/>
    <xf numFmtId="0" fontId="1" fillId="4" borderId="5" xfId="0" applyNumberFormat="1" applyFont="1" applyFill="1" applyBorder="1" applyAlignment="1">
      <alignment vertical="center" wrapText="1"/>
    </xf>
    <xf numFmtId="0" fontId="2" fillId="4" borderId="5" xfId="0" applyNumberFormat="1" applyFont="1" applyFill="1" applyBorder="1"/>
    <xf numFmtId="0" fontId="1" fillId="0" borderId="4" xfId="0" applyNumberFormat="1" applyFont="1" applyBorder="1" applyAlignment="1">
      <alignment horizontal="center" vertical="center" wrapText="1"/>
    </xf>
    <xf numFmtId="164" fontId="1" fillId="3" borderId="4" xfId="0" applyNumberFormat="1" applyFont="1" applyFill="1" applyBorder="1" applyAlignment="1">
      <alignment horizontal="center" vertical="center" wrapText="1"/>
    </xf>
    <xf numFmtId="0" fontId="1" fillId="3" borderId="4"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0" fontId="4" fillId="0" borderId="4" xfId="0" applyNumberFormat="1" applyFont="1" applyFill="1" applyBorder="1" applyAlignment="1">
      <alignment wrapText="1"/>
    </xf>
    <xf numFmtId="0" fontId="1" fillId="0" borderId="4" xfId="0" applyFont="1" applyFill="1" applyBorder="1"/>
    <xf numFmtId="0" fontId="4" fillId="0" borderId="4" xfId="0" applyFont="1" applyFill="1" applyBorder="1" applyAlignment="1">
      <alignment wrapText="1"/>
    </xf>
    <xf numFmtId="0" fontId="0" fillId="0" borderId="4" xfId="0" applyBorder="1"/>
    <xf numFmtId="0" fontId="0" fillId="4" borderId="4" xfId="0" applyFill="1" applyBorder="1"/>
    <xf numFmtId="0" fontId="4" fillId="0" borderId="4" xfId="0" applyFont="1" applyFill="1" applyBorder="1"/>
    <xf numFmtId="0" fontId="0" fillId="3" borderId="0" xfId="0" applyFill="1"/>
    <xf numFmtId="0" fontId="0" fillId="3" borderId="4" xfId="0" applyFill="1" applyBorder="1"/>
    <xf numFmtId="0" fontId="0" fillId="0" borderId="0" xfId="0" applyNumberFormat="1" applyBorder="1" applyAlignment="1">
      <alignment vertical="center" wrapText="1"/>
    </xf>
    <xf numFmtId="164" fontId="0" fillId="3" borderId="0" xfId="0" applyNumberFormat="1" applyFill="1" applyBorder="1" applyAlignment="1">
      <alignment vertical="center" wrapText="1"/>
    </xf>
    <xf numFmtId="0" fontId="0" fillId="3" borderId="0" xfId="0" applyNumberFormat="1" applyFill="1" applyBorder="1" applyAlignment="1">
      <alignment vertical="center" wrapText="1"/>
    </xf>
    <xf numFmtId="0" fontId="0" fillId="0" borderId="6" xfId="0" applyNumberFormat="1" applyBorder="1" applyAlignment="1">
      <alignment vertical="center" wrapText="1"/>
    </xf>
    <xf numFmtId="0" fontId="0" fillId="0" borderId="7" xfId="0" applyFill="1" applyBorder="1"/>
    <xf numFmtId="0" fontId="0" fillId="4" borderId="8" xfId="0" applyFill="1" applyBorder="1"/>
    <xf numFmtId="0" fontId="0" fillId="0" borderId="0" xfId="0" applyBorder="1"/>
    <xf numFmtId="0" fontId="0" fillId="5" borderId="4" xfId="0" applyNumberFormat="1" applyFill="1" applyBorder="1" applyAlignment="1">
      <alignment vertical="center" wrapText="1"/>
    </xf>
    <xf numFmtId="164" fontId="1" fillId="5" borderId="4" xfId="0" applyNumberFormat="1" applyFont="1" applyFill="1" applyBorder="1"/>
    <xf numFmtId="0" fontId="2" fillId="5" borderId="4" xfId="0" applyNumberFormat="1" applyFont="1" applyFill="1" applyBorder="1" applyAlignment="1">
      <alignment vertical="center" wrapText="1"/>
    </xf>
    <xf numFmtId="0" fontId="1" fillId="5" borderId="4" xfId="0" applyFont="1" applyFill="1" applyBorder="1"/>
    <xf numFmtId="0" fontId="2" fillId="5" borderId="4" xfId="0" applyFont="1" applyFill="1" applyBorder="1"/>
    <xf numFmtId="0" fontId="0" fillId="5" borderId="4" xfId="0" applyFill="1" applyBorder="1"/>
    <xf numFmtId="164" fontId="0" fillId="5" borderId="4" xfId="0" applyNumberFormat="1" applyFill="1" applyBorder="1"/>
    <xf numFmtId="0" fontId="3" fillId="0" borderId="0" xfId="0" applyFont="1" applyFill="1"/>
    <xf numFmtId="0" fontId="3" fillId="0" borderId="0" xfId="0" applyFont="1"/>
    <xf numFmtId="0" fontId="0" fillId="0" borderId="3" xfId="0" applyBorder="1"/>
  </cellXfs>
  <cellStyles count="1">
    <cellStyle name="Normal" xfId="0" builtinId="0"/>
  </cellStyles>
  <dxfs count="0"/>
  <tableStyles count="0" defaultTableStyle="TableStyleMedium2" defaultPivotStyle="PivotStyleLight16"/>
  <colors>
    <mruColors>
      <color rgb="FFFF66FF"/>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915709874999443E-2"/>
          <c:y val="0.32957466939448654"/>
          <c:w val="0.89132794347009581"/>
          <c:h val="0.54695276170186902"/>
        </c:manualLayout>
      </c:layout>
      <c:lineChart>
        <c:grouping val="standard"/>
        <c:varyColors val="0"/>
        <c:ser>
          <c:idx val="0"/>
          <c:order val="0"/>
          <c:tx>
            <c:strRef>
              <c:f>'transport_routier (procédés)'!$D$1</c:f>
              <c:strCache>
                <c:ptCount val="1"/>
                <c:pt idx="0">
                  <c:v>Volume de transport (tonnes) : Valeur observée</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9.9022388432524241E-2"/>
                  <c:y val="-0.21251624123297075"/>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fr-FR"/>
                </a:p>
              </c:txPr>
            </c:trendlineLbl>
          </c:trendline>
          <c:cat>
            <c:strRef>
              <c:f>'transport_routier (procédés)'!$A$2:$A$49</c:f>
              <c:strCache>
                <c:ptCount val="48"/>
                <c:pt idx="0">
                  <c:v>2021-01</c:v>
                </c:pt>
                <c:pt idx="1">
                  <c:v>2021-02</c:v>
                </c:pt>
                <c:pt idx="2">
                  <c:v>2021-03</c:v>
                </c:pt>
                <c:pt idx="3">
                  <c:v>2021-04</c:v>
                </c:pt>
                <c:pt idx="4">
                  <c:v>2021-05</c:v>
                </c:pt>
                <c:pt idx="5">
                  <c:v>2021-06</c:v>
                </c:pt>
                <c:pt idx="6">
                  <c:v>2021-07</c:v>
                </c:pt>
                <c:pt idx="7">
                  <c:v>2021-08</c:v>
                </c:pt>
                <c:pt idx="8">
                  <c:v>2021-09</c:v>
                </c:pt>
                <c:pt idx="9">
                  <c:v>2021-10</c:v>
                </c:pt>
                <c:pt idx="10">
                  <c:v>2021-11</c:v>
                </c:pt>
                <c:pt idx="11">
                  <c:v>2021-12</c:v>
                </c:pt>
                <c:pt idx="12">
                  <c:v>2022-01</c:v>
                </c:pt>
                <c:pt idx="13">
                  <c:v>2022-02</c:v>
                </c:pt>
                <c:pt idx="14">
                  <c:v>2022-03</c:v>
                </c:pt>
                <c:pt idx="15">
                  <c:v>2022-04</c:v>
                </c:pt>
                <c:pt idx="16">
                  <c:v>2022-05</c:v>
                </c:pt>
                <c:pt idx="17">
                  <c:v>2022-06</c:v>
                </c:pt>
                <c:pt idx="18">
                  <c:v>2022-07</c:v>
                </c:pt>
                <c:pt idx="19">
                  <c:v>2022-08</c:v>
                </c:pt>
                <c:pt idx="20">
                  <c:v>2022-09</c:v>
                </c:pt>
                <c:pt idx="21">
                  <c:v>2022-10</c:v>
                </c:pt>
                <c:pt idx="22">
                  <c:v>2022-11</c:v>
                </c:pt>
                <c:pt idx="23">
                  <c:v>2022-12</c:v>
                </c:pt>
                <c:pt idx="24">
                  <c:v>2023-01</c:v>
                </c:pt>
                <c:pt idx="25">
                  <c:v>2023-02</c:v>
                </c:pt>
                <c:pt idx="26">
                  <c:v>2023-03</c:v>
                </c:pt>
                <c:pt idx="27">
                  <c:v>2023-04</c:v>
                </c:pt>
                <c:pt idx="28">
                  <c:v>2023-05</c:v>
                </c:pt>
                <c:pt idx="29">
                  <c:v>2023-06</c:v>
                </c:pt>
                <c:pt idx="30">
                  <c:v>2023-07</c:v>
                </c:pt>
                <c:pt idx="31">
                  <c:v>2023-08</c:v>
                </c:pt>
                <c:pt idx="32">
                  <c:v>2023-09</c:v>
                </c:pt>
                <c:pt idx="33">
                  <c:v>2023-10</c:v>
                </c:pt>
                <c:pt idx="34">
                  <c:v>2023-11</c:v>
                </c:pt>
                <c:pt idx="35">
                  <c:v>2023-12</c:v>
                </c:pt>
                <c:pt idx="36">
                  <c:v>2024-01</c:v>
                </c:pt>
                <c:pt idx="37">
                  <c:v>2024-02</c:v>
                </c:pt>
                <c:pt idx="38">
                  <c:v>2024-03</c:v>
                </c:pt>
                <c:pt idx="39">
                  <c:v>2024-04</c:v>
                </c:pt>
                <c:pt idx="40">
                  <c:v>2024-05</c:v>
                </c:pt>
                <c:pt idx="41">
                  <c:v>2024-06</c:v>
                </c:pt>
                <c:pt idx="42">
                  <c:v>2024-07</c:v>
                </c:pt>
                <c:pt idx="43">
                  <c:v>2024-08</c:v>
                </c:pt>
                <c:pt idx="44">
                  <c:v>2024-09</c:v>
                </c:pt>
                <c:pt idx="45">
                  <c:v>2024-10</c:v>
                </c:pt>
                <c:pt idx="46">
                  <c:v>2024-11</c:v>
                </c:pt>
                <c:pt idx="47">
                  <c:v>2024-12</c:v>
                </c:pt>
              </c:strCache>
            </c:strRef>
          </c:cat>
          <c:val>
            <c:numRef>
              <c:f>'transport_routier (procédés)'!$D$2:$D$37</c:f>
              <c:numCache>
                <c:formatCode>General</c:formatCode>
                <c:ptCount val="36"/>
                <c:pt idx="0">
                  <c:v>500</c:v>
                </c:pt>
                <c:pt idx="1">
                  <c:v>520</c:v>
                </c:pt>
                <c:pt idx="2">
                  <c:v>550</c:v>
                </c:pt>
                <c:pt idx="3">
                  <c:v>600</c:v>
                </c:pt>
                <c:pt idx="4">
                  <c:v>650</c:v>
                </c:pt>
                <c:pt idx="5">
                  <c:v>800</c:v>
                </c:pt>
                <c:pt idx="6">
                  <c:v>900</c:v>
                </c:pt>
                <c:pt idx="7">
                  <c:v>850</c:v>
                </c:pt>
                <c:pt idx="8">
                  <c:v>700</c:v>
                </c:pt>
                <c:pt idx="9">
                  <c:v>650</c:v>
                </c:pt>
                <c:pt idx="10">
                  <c:v>680</c:v>
                </c:pt>
                <c:pt idx="11">
                  <c:v>950</c:v>
                </c:pt>
                <c:pt idx="12">
                  <c:v>550</c:v>
                </c:pt>
                <c:pt idx="13">
                  <c:v>570</c:v>
                </c:pt>
                <c:pt idx="14">
                  <c:v>600</c:v>
                </c:pt>
                <c:pt idx="15">
                  <c:v>650</c:v>
                </c:pt>
                <c:pt idx="16">
                  <c:v>700</c:v>
                </c:pt>
                <c:pt idx="17">
                  <c:v>850</c:v>
                </c:pt>
                <c:pt idx="18">
                  <c:v>950</c:v>
                </c:pt>
                <c:pt idx="19">
                  <c:v>900</c:v>
                </c:pt>
                <c:pt idx="20">
                  <c:v>750</c:v>
                </c:pt>
                <c:pt idx="21">
                  <c:v>700</c:v>
                </c:pt>
                <c:pt idx="22">
                  <c:v>730</c:v>
                </c:pt>
                <c:pt idx="23">
                  <c:v>1000</c:v>
                </c:pt>
                <c:pt idx="24">
                  <c:v>600</c:v>
                </c:pt>
                <c:pt idx="25">
                  <c:v>620</c:v>
                </c:pt>
                <c:pt idx="26">
                  <c:v>650</c:v>
                </c:pt>
                <c:pt idx="27">
                  <c:v>700</c:v>
                </c:pt>
                <c:pt idx="28">
                  <c:v>750</c:v>
                </c:pt>
                <c:pt idx="29">
                  <c:v>900</c:v>
                </c:pt>
                <c:pt idx="30">
                  <c:v>1050</c:v>
                </c:pt>
                <c:pt idx="31">
                  <c:v>980</c:v>
                </c:pt>
                <c:pt idx="32">
                  <c:v>800</c:v>
                </c:pt>
                <c:pt idx="33">
                  <c:v>750</c:v>
                </c:pt>
                <c:pt idx="34">
                  <c:v>780</c:v>
                </c:pt>
                <c:pt idx="35">
                  <c:v>1100</c:v>
                </c:pt>
              </c:numCache>
            </c:numRef>
          </c:val>
          <c:smooth val="0"/>
          <c:extLst>
            <c:ext xmlns:c16="http://schemas.microsoft.com/office/drawing/2014/chart" uri="{C3380CC4-5D6E-409C-BE32-E72D297353CC}">
              <c16:uniqueId val="{00000000-2675-4B97-9209-3D77ADF0DA31}"/>
            </c:ext>
          </c:extLst>
        </c:ser>
        <c:ser>
          <c:idx val="1"/>
          <c:order val="1"/>
          <c:tx>
            <c:v>Séries CVS : y t -s j</c:v>
          </c:tx>
          <c:spPr>
            <a:ln w="28575" cap="rnd">
              <a:solidFill>
                <a:schemeClr val="accent2"/>
              </a:solidFill>
              <a:round/>
            </a:ln>
            <a:effectLst/>
          </c:spPr>
          <c:marker>
            <c:symbol val="none"/>
          </c:marker>
          <c:cat>
            <c:strRef>
              <c:f>'transport_routier (procédés)'!$A$2:$A$49</c:f>
              <c:strCache>
                <c:ptCount val="48"/>
                <c:pt idx="0">
                  <c:v>2021-01</c:v>
                </c:pt>
                <c:pt idx="1">
                  <c:v>2021-02</c:v>
                </c:pt>
                <c:pt idx="2">
                  <c:v>2021-03</c:v>
                </c:pt>
                <c:pt idx="3">
                  <c:v>2021-04</c:v>
                </c:pt>
                <c:pt idx="4">
                  <c:v>2021-05</c:v>
                </c:pt>
                <c:pt idx="5">
                  <c:v>2021-06</c:v>
                </c:pt>
                <c:pt idx="6">
                  <c:v>2021-07</c:v>
                </c:pt>
                <c:pt idx="7">
                  <c:v>2021-08</c:v>
                </c:pt>
                <c:pt idx="8">
                  <c:v>2021-09</c:v>
                </c:pt>
                <c:pt idx="9">
                  <c:v>2021-10</c:v>
                </c:pt>
                <c:pt idx="10">
                  <c:v>2021-11</c:v>
                </c:pt>
                <c:pt idx="11">
                  <c:v>2021-12</c:v>
                </c:pt>
                <c:pt idx="12">
                  <c:v>2022-01</c:v>
                </c:pt>
                <c:pt idx="13">
                  <c:v>2022-02</c:v>
                </c:pt>
                <c:pt idx="14">
                  <c:v>2022-03</c:v>
                </c:pt>
                <c:pt idx="15">
                  <c:v>2022-04</c:v>
                </c:pt>
                <c:pt idx="16">
                  <c:v>2022-05</c:v>
                </c:pt>
                <c:pt idx="17">
                  <c:v>2022-06</c:v>
                </c:pt>
                <c:pt idx="18">
                  <c:v>2022-07</c:v>
                </c:pt>
                <c:pt idx="19">
                  <c:v>2022-08</c:v>
                </c:pt>
                <c:pt idx="20">
                  <c:v>2022-09</c:v>
                </c:pt>
                <c:pt idx="21">
                  <c:v>2022-10</c:v>
                </c:pt>
                <c:pt idx="22">
                  <c:v>2022-11</c:v>
                </c:pt>
                <c:pt idx="23">
                  <c:v>2022-12</c:v>
                </c:pt>
                <c:pt idx="24">
                  <c:v>2023-01</c:v>
                </c:pt>
                <c:pt idx="25">
                  <c:v>2023-02</c:v>
                </c:pt>
                <c:pt idx="26">
                  <c:v>2023-03</c:v>
                </c:pt>
                <c:pt idx="27">
                  <c:v>2023-04</c:v>
                </c:pt>
                <c:pt idx="28">
                  <c:v>2023-05</c:v>
                </c:pt>
                <c:pt idx="29">
                  <c:v>2023-06</c:v>
                </c:pt>
                <c:pt idx="30">
                  <c:v>2023-07</c:v>
                </c:pt>
                <c:pt idx="31">
                  <c:v>2023-08</c:v>
                </c:pt>
                <c:pt idx="32">
                  <c:v>2023-09</c:v>
                </c:pt>
                <c:pt idx="33">
                  <c:v>2023-10</c:v>
                </c:pt>
                <c:pt idx="34">
                  <c:v>2023-11</c:v>
                </c:pt>
                <c:pt idx="35">
                  <c:v>2023-12</c:v>
                </c:pt>
                <c:pt idx="36">
                  <c:v>2024-01</c:v>
                </c:pt>
                <c:pt idx="37">
                  <c:v>2024-02</c:v>
                </c:pt>
                <c:pt idx="38">
                  <c:v>2024-03</c:v>
                </c:pt>
                <c:pt idx="39">
                  <c:v>2024-04</c:v>
                </c:pt>
                <c:pt idx="40">
                  <c:v>2024-05</c:v>
                </c:pt>
                <c:pt idx="41">
                  <c:v>2024-06</c:v>
                </c:pt>
                <c:pt idx="42">
                  <c:v>2024-07</c:v>
                </c:pt>
                <c:pt idx="43">
                  <c:v>2024-08</c:v>
                </c:pt>
                <c:pt idx="44">
                  <c:v>2024-09</c:v>
                </c:pt>
                <c:pt idx="45">
                  <c:v>2024-10</c:v>
                </c:pt>
                <c:pt idx="46">
                  <c:v>2024-11</c:v>
                </c:pt>
                <c:pt idx="47">
                  <c:v>2024-12</c:v>
                </c:pt>
              </c:strCache>
            </c:strRef>
          </c:cat>
          <c:val>
            <c:numRef>
              <c:f>'transport_routier (procédés)'!$I$2:$I$49</c:f>
              <c:numCache>
                <c:formatCode>General</c:formatCode>
                <c:ptCount val="48"/>
                <c:pt idx="0">
                  <c:v>670.19097222222217</c:v>
                </c:pt>
                <c:pt idx="1">
                  <c:v>671.85763888888891</c:v>
                </c:pt>
                <c:pt idx="2">
                  <c:v>680.81597222222217</c:v>
                </c:pt>
                <c:pt idx="3">
                  <c:v>688.31597222222217</c:v>
                </c:pt>
                <c:pt idx="4">
                  <c:v>702.48263888888891</c:v>
                </c:pt>
                <c:pt idx="5">
                  <c:v>679.77430555555554</c:v>
                </c:pt>
                <c:pt idx="6">
                  <c:v>697.06597222222217</c:v>
                </c:pt>
                <c:pt idx="7">
                  <c:v>701.64930555555554</c:v>
                </c:pt>
                <c:pt idx="8">
                  <c:v>706.64930555555554</c:v>
                </c:pt>
                <c:pt idx="9">
                  <c:v>710.81597222222217</c:v>
                </c:pt>
                <c:pt idx="10">
                  <c:v>719.14930555555554</c:v>
                </c:pt>
                <c:pt idx="11">
                  <c:v>721.2326388888888</c:v>
                </c:pt>
                <c:pt idx="12">
                  <c:v>720.19097222222217</c:v>
                </c:pt>
                <c:pt idx="13">
                  <c:v>721.85763888888891</c:v>
                </c:pt>
                <c:pt idx="14">
                  <c:v>730.81597222222217</c:v>
                </c:pt>
                <c:pt idx="15">
                  <c:v>738.31597222222217</c:v>
                </c:pt>
                <c:pt idx="16">
                  <c:v>752.48263888888891</c:v>
                </c:pt>
                <c:pt idx="17">
                  <c:v>729.77430555555554</c:v>
                </c:pt>
                <c:pt idx="18">
                  <c:v>747.06597222222217</c:v>
                </c:pt>
                <c:pt idx="19">
                  <c:v>751.64930555555554</c:v>
                </c:pt>
                <c:pt idx="20">
                  <c:v>756.64930555555554</c:v>
                </c:pt>
                <c:pt idx="21">
                  <c:v>760.81597222222217</c:v>
                </c:pt>
                <c:pt idx="22">
                  <c:v>769.14930555555554</c:v>
                </c:pt>
                <c:pt idx="23">
                  <c:v>771.2326388888888</c:v>
                </c:pt>
                <c:pt idx="24">
                  <c:v>770.19097222222217</c:v>
                </c:pt>
                <c:pt idx="25">
                  <c:v>771.85763888888891</c:v>
                </c:pt>
                <c:pt idx="26">
                  <c:v>780.81597222222217</c:v>
                </c:pt>
                <c:pt idx="27">
                  <c:v>788.31597222222217</c:v>
                </c:pt>
                <c:pt idx="28">
                  <c:v>802.48263888888891</c:v>
                </c:pt>
                <c:pt idx="29">
                  <c:v>779.77430555555554</c:v>
                </c:pt>
                <c:pt idx="30">
                  <c:v>847.06597222222217</c:v>
                </c:pt>
                <c:pt idx="31">
                  <c:v>831.64930555555554</c:v>
                </c:pt>
                <c:pt idx="32">
                  <c:v>806.64930555555554</c:v>
                </c:pt>
                <c:pt idx="33">
                  <c:v>810.81597222222217</c:v>
                </c:pt>
                <c:pt idx="34">
                  <c:v>819.14930555555554</c:v>
                </c:pt>
                <c:pt idx="35">
                  <c:v>871.2326388888888</c:v>
                </c:pt>
              </c:numCache>
            </c:numRef>
          </c:val>
          <c:smooth val="0"/>
          <c:extLst>
            <c:ext xmlns:c16="http://schemas.microsoft.com/office/drawing/2014/chart" uri="{C3380CC4-5D6E-409C-BE32-E72D297353CC}">
              <c16:uniqueId val="{00000000-86B4-44EC-989B-8114ACB21FFF}"/>
            </c:ext>
          </c:extLst>
        </c:ser>
        <c:ser>
          <c:idx val="2"/>
          <c:order val="2"/>
          <c:tx>
            <c:v>Modélisation par MCO saisonnalisée</c:v>
          </c:tx>
          <c:spPr>
            <a:ln w="28575" cap="rnd">
              <a:solidFill>
                <a:schemeClr val="accent3"/>
              </a:solidFill>
              <a:round/>
            </a:ln>
            <a:effectLst/>
          </c:spPr>
          <c:marker>
            <c:symbol val="none"/>
          </c:marker>
          <c:cat>
            <c:strRef>
              <c:f>'transport_routier (procédés)'!$A$2:$A$49</c:f>
              <c:strCache>
                <c:ptCount val="48"/>
                <c:pt idx="0">
                  <c:v>2021-01</c:v>
                </c:pt>
                <c:pt idx="1">
                  <c:v>2021-02</c:v>
                </c:pt>
                <c:pt idx="2">
                  <c:v>2021-03</c:v>
                </c:pt>
                <c:pt idx="3">
                  <c:v>2021-04</c:v>
                </c:pt>
                <c:pt idx="4">
                  <c:v>2021-05</c:v>
                </c:pt>
                <c:pt idx="5">
                  <c:v>2021-06</c:v>
                </c:pt>
                <c:pt idx="6">
                  <c:v>2021-07</c:v>
                </c:pt>
                <c:pt idx="7">
                  <c:v>2021-08</c:v>
                </c:pt>
                <c:pt idx="8">
                  <c:v>2021-09</c:v>
                </c:pt>
                <c:pt idx="9">
                  <c:v>2021-10</c:v>
                </c:pt>
                <c:pt idx="10">
                  <c:v>2021-11</c:v>
                </c:pt>
                <c:pt idx="11">
                  <c:v>2021-12</c:v>
                </c:pt>
                <c:pt idx="12">
                  <c:v>2022-01</c:v>
                </c:pt>
                <c:pt idx="13">
                  <c:v>2022-02</c:v>
                </c:pt>
                <c:pt idx="14">
                  <c:v>2022-03</c:v>
                </c:pt>
                <c:pt idx="15">
                  <c:v>2022-04</c:v>
                </c:pt>
                <c:pt idx="16">
                  <c:v>2022-05</c:v>
                </c:pt>
                <c:pt idx="17">
                  <c:v>2022-06</c:v>
                </c:pt>
                <c:pt idx="18">
                  <c:v>2022-07</c:v>
                </c:pt>
                <c:pt idx="19">
                  <c:v>2022-08</c:v>
                </c:pt>
                <c:pt idx="20">
                  <c:v>2022-09</c:v>
                </c:pt>
                <c:pt idx="21">
                  <c:v>2022-10</c:v>
                </c:pt>
                <c:pt idx="22">
                  <c:v>2022-11</c:v>
                </c:pt>
                <c:pt idx="23">
                  <c:v>2022-12</c:v>
                </c:pt>
                <c:pt idx="24">
                  <c:v>2023-01</c:v>
                </c:pt>
                <c:pt idx="25">
                  <c:v>2023-02</c:v>
                </c:pt>
                <c:pt idx="26">
                  <c:v>2023-03</c:v>
                </c:pt>
                <c:pt idx="27">
                  <c:v>2023-04</c:v>
                </c:pt>
                <c:pt idx="28">
                  <c:v>2023-05</c:v>
                </c:pt>
                <c:pt idx="29">
                  <c:v>2023-06</c:v>
                </c:pt>
                <c:pt idx="30">
                  <c:v>2023-07</c:v>
                </c:pt>
                <c:pt idx="31">
                  <c:v>2023-08</c:v>
                </c:pt>
                <c:pt idx="32">
                  <c:v>2023-09</c:v>
                </c:pt>
                <c:pt idx="33">
                  <c:v>2023-10</c:v>
                </c:pt>
                <c:pt idx="34">
                  <c:v>2023-11</c:v>
                </c:pt>
                <c:pt idx="35">
                  <c:v>2023-12</c:v>
                </c:pt>
                <c:pt idx="36">
                  <c:v>2024-01</c:v>
                </c:pt>
                <c:pt idx="37">
                  <c:v>2024-02</c:v>
                </c:pt>
                <c:pt idx="38">
                  <c:v>2024-03</c:v>
                </c:pt>
                <c:pt idx="39">
                  <c:v>2024-04</c:v>
                </c:pt>
                <c:pt idx="40">
                  <c:v>2024-05</c:v>
                </c:pt>
                <c:pt idx="41">
                  <c:v>2024-06</c:v>
                </c:pt>
                <c:pt idx="42">
                  <c:v>2024-07</c:v>
                </c:pt>
                <c:pt idx="43">
                  <c:v>2024-08</c:v>
                </c:pt>
                <c:pt idx="44">
                  <c:v>2024-09</c:v>
                </c:pt>
                <c:pt idx="45">
                  <c:v>2024-10</c:v>
                </c:pt>
                <c:pt idx="46">
                  <c:v>2024-11</c:v>
                </c:pt>
                <c:pt idx="47">
                  <c:v>2024-12</c:v>
                </c:pt>
              </c:strCache>
            </c:strRef>
          </c:cat>
          <c:val>
            <c:numRef>
              <c:f>'transport_routier (procédés)'!$K$2:$K$49</c:f>
              <c:numCache>
                <c:formatCode>General</c:formatCode>
                <c:ptCount val="48"/>
                <c:pt idx="0">
                  <c:v>549.76228632478671</c:v>
                </c:pt>
                <c:pt idx="1">
                  <c:v>573.45765345765369</c:v>
                </c:pt>
                <c:pt idx="2">
                  <c:v>599.86135392385427</c:v>
                </c:pt>
                <c:pt idx="3">
                  <c:v>647.7233877233881</c:v>
                </c:pt>
                <c:pt idx="4">
                  <c:v>688.91875485625508</c:v>
                </c:pt>
                <c:pt idx="5">
                  <c:v>866.98912198912228</c:v>
                </c:pt>
                <c:pt idx="6">
                  <c:v>955.05948912198949</c:v>
                </c:pt>
                <c:pt idx="7">
                  <c:v>905.83818958818995</c:v>
                </c:pt>
                <c:pt idx="8">
                  <c:v>756.20022338772367</c:v>
                </c:pt>
                <c:pt idx="9">
                  <c:v>707.39559052059087</c:v>
                </c:pt>
                <c:pt idx="10">
                  <c:v>734.42429098679133</c:v>
                </c:pt>
                <c:pt idx="11">
                  <c:v>1007.7029914529918</c:v>
                </c:pt>
                <c:pt idx="12">
                  <c:v>549.76228632478671</c:v>
                </c:pt>
                <c:pt idx="13">
                  <c:v>573.45765345765369</c:v>
                </c:pt>
                <c:pt idx="14">
                  <c:v>599.86135392385427</c:v>
                </c:pt>
                <c:pt idx="15">
                  <c:v>647.7233877233881</c:v>
                </c:pt>
                <c:pt idx="16">
                  <c:v>688.91875485625508</c:v>
                </c:pt>
                <c:pt idx="17">
                  <c:v>866.98912198912228</c:v>
                </c:pt>
                <c:pt idx="18">
                  <c:v>955.05948912198949</c:v>
                </c:pt>
                <c:pt idx="19">
                  <c:v>905.83818958818995</c:v>
                </c:pt>
                <c:pt idx="20">
                  <c:v>756.20022338772367</c:v>
                </c:pt>
                <c:pt idx="21">
                  <c:v>707.39559052059087</c:v>
                </c:pt>
                <c:pt idx="22">
                  <c:v>734.42429098679133</c:v>
                </c:pt>
                <c:pt idx="23">
                  <c:v>1007.7029914529918</c:v>
                </c:pt>
                <c:pt idx="24">
                  <c:v>549.76228632478671</c:v>
                </c:pt>
                <c:pt idx="25">
                  <c:v>573.45765345765369</c:v>
                </c:pt>
                <c:pt idx="26">
                  <c:v>599.86135392385427</c:v>
                </c:pt>
                <c:pt idx="27">
                  <c:v>647.7233877233881</c:v>
                </c:pt>
                <c:pt idx="28">
                  <c:v>688.91875485625508</c:v>
                </c:pt>
                <c:pt idx="29">
                  <c:v>866.98912198912228</c:v>
                </c:pt>
                <c:pt idx="30">
                  <c:v>955.05948912198949</c:v>
                </c:pt>
                <c:pt idx="31">
                  <c:v>905.83818958818995</c:v>
                </c:pt>
                <c:pt idx="32">
                  <c:v>756.20022338772367</c:v>
                </c:pt>
                <c:pt idx="33">
                  <c:v>707.39559052059087</c:v>
                </c:pt>
                <c:pt idx="34">
                  <c:v>734.42429098679133</c:v>
                </c:pt>
                <c:pt idx="35">
                  <c:v>1007.7029914529918</c:v>
                </c:pt>
              </c:numCache>
            </c:numRef>
          </c:val>
          <c:smooth val="0"/>
          <c:extLst>
            <c:ext xmlns:c16="http://schemas.microsoft.com/office/drawing/2014/chart" uri="{C3380CC4-5D6E-409C-BE32-E72D297353CC}">
              <c16:uniqueId val="{00000001-86B4-44EC-989B-8114ACB21FFF}"/>
            </c:ext>
          </c:extLst>
        </c:ser>
        <c:ser>
          <c:idx val="3"/>
          <c:order val="3"/>
          <c:tx>
            <c:v>Prévisions</c:v>
          </c:tx>
          <c:spPr>
            <a:ln w="28575" cap="rnd">
              <a:solidFill>
                <a:schemeClr val="accent4"/>
              </a:solidFill>
              <a:round/>
            </a:ln>
            <a:effectLst/>
          </c:spPr>
          <c:marker>
            <c:symbol val="none"/>
          </c:marker>
          <c:cat>
            <c:strRef>
              <c:f>'transport_routier (procédés)'!$A$2:$A$49</c:f>
              <c:strCache>
                <c:ptCount val="48"/>
                <c:pt idx="0">
                  <c:v>2021-01</c:v>
                </c:pt>
                <c:pt idx="1">
                  <c:v>2021-02</c:v>
                </c:pt>
                <c:pt idx="2">
                  <c:v>2021-03</c:v>
                </c:pt>
                <c:pt idx="3">
                  <c:v>2021-04</c:v>
                </c:pt>
                <c:pt idx="4">
                  <c:v>2021-05</c:v>
                </c:pt>
                <c:pt idx="5">
                  <c:v>2021-06</c:v>
                </c:pt>
                <c:pt idx="6">
                  <c:v>2021-07</c:v>
                </c:pt>
                <c:pt idx="7">
                  <c:v>2021-08</c:v>
                </c:pt>
                <c:pt idx="8">
                  <c:v>2021-09</c:v>
                </c:pt>
                <c:pt idx="9">
                  <c:v>2021-10</c:v>
                </c:pt>
                <c:pt idx="10">
                  <c:v>2021-11</c:v>
                </c:pt>
                <c:pt idx="11">
                  <c:v>2021-12</c:v>
                </c:pt>
                <c:pt idx="12">
                  <c:v>2022-01</c:v>
                </c:pt>
                <c:pt idx="13">
                  <c:v>2022-02</c:v>
                </c:pt>
                <c:pt idx="14">
                  <c:v>2022-03</c:v>
                </c:pt>
                <c:pt idx="15">
                  <c:v>2022-04</c:v>
                </c:pt>
                <c:pt idx="16">
                  <c:v>2022-05</c:v>
                </c:pt>
                <c:pt idx="17">
                  <c:v>2022-06</c:v>
                </c:pt>
                <c:pt idx="18">
                  <c:v>2022-07</c:v>
                </c:pt>
                <c:pt idx="19">
                  <c:v>2022-08</c:v>
                </c:pt>
                <c:pt idx="20">
                  <c:v>2022-09</c:v>
                </c:pt>
                <c:pt idx="21">
                  <c:v>2022-10</c:v>
                </c:pt>
                <c:pt idx="22">
                  <c:v>2022-11</c:v>
                </c:pt>
                <c:pt idx="23">
                  <c:v>2022-12</c:v>
                </c:pt>
                <c:pt idx="24">
                  <c:v>2023-01</c:v>
                </c:pt>
                <c:pt idx="25">
                  <c:v>2023-02</c:v>
                </c:pt>
                <c:pt idx="26">
                  <c:v>2023-03</c:v>
                </c:pt>
                <c:pt idx="27">
                  <c:v>2023-04</c:v>
                </c:pt>
                <c:pt idx="28">
                  <c:v>2023-05</c:v>
                </c:pt>
                <c:pt idx="29">
                  <c:v>2023-06</c:v>
                </c:pt>
                <c:pt idx="30">
                  <c:v>2023-07</c:v>
                </c:pt>
                <c:pt idx="31">
                  <c:v>2023-08</c:v>
                </c:pt>
                <c:pt idx="32">
                  <c:v>2023-09</c:v>
                </c:pt>
                <c:pt idx="33">
                  <c:v>2023-10</c:v>
                </c:pt>
                <c:pt idx="34">
                  <c:v>2023-11</c:v>
                </c:pt>
                <c:pt idx="35">
                  <c:v>2023-12</c:v>
                </c:pt>
                <c:pt idx="36">
                  <c:v>2024-01</c:v>
                </c:pt>
                <c:pt idx="37">
                  <c:v>2024-02</c:v>
                </c:pt>
                <c:pt idx="38">
                  <c:v>2024-03</c:v>
                </c:pt>
                <c:pt idx="39">
                  <c:v>2024-04</c:v>
                </c:pt>
                <c:pt idx="40">
                  <c:v>2024-05</c:v>
                </c:pt>
                <c:pt idx="41">
                  <c:v>2024-06</c:v>
                </c:pt>
                <c:pt idx="42">
                  <c:v>2024-07</c:v>
                </c:pt>
                <c:pt idx="43">
                  <c:v>2024-08</c:v>
                </c:pt>
                <c:pt idx="44">
                  <c:v>2024-09</c:v>
                </c:pt>
                <c:pt idx="45">
                  <c:v>2024-10</c:v>
                </c:pt>
                <c:pt idx="46">
                  <c:v>2024-11</c:v>
                </c:pt>
                <c:pt idx="47">
                  <c:v>2024-12</c:v>
                </c:pt>
              </c:strCache>
            </c:strRef>
          </c:cat>
          <c:val>
            <c:numRef>
              <c:f>'transport_routier (procédés)'!$L$2:$L$49</c:f>
              <c:numCache>
                <c:formatCode>General</c:formatCode>
                <c:ptCount val="48"/>
                <c:pt idx="36">
                  <c:v>549.76228632478671</c:v>
                </c:pt>
                <c:pt idx="37">
                  <c:v>573.45765345765369</c:v>
                </c:pt>
                <c:pt idx="38">
                  <c:v>599.86135392385427</c:v>
                </c:pt>
                <c:pt idx="39">
                  <c:v>647.7233877233881</c:v>
                </c:pt>
                <c:pt idx="40">
                  <c:v>688.91875485625508</c:v>
                </c:pt>
                <c:pt idx="41">
                  <c:v>866.98912198912228</c:v>
                </c:pt>
                <c:pt idx="42">
                  <c:v>955.05948912198949</c:v>
                </c:pt>
                <c:pt idx="43">
                  <c:v>905.83818958818995</c:v>
                </c:pt>
                <c:pt idx="44">
                  <c:v>756.20022338772367</c:v>
                </c:pt>
                <c:pt idx="45">
                  <c:v>707.39559052059087</c:v>
                </c:pt>
                <c:pt idx="46">
                  <c:v>734.42429098679133</c:v>
                </c:pt>
                <c:pt idx="47">
                  <c:v>1007.7029914529918</c:v>
                </c:pt>
              </c:numCache>
            </c:numRef>
          </c:val>
          <c:smooth val="0"/>
          <c:extLst>
            <c:ext xmlns:c16="http://schemas.microsoft.com/office/drawing/2014/chart" uri="{C3380CC4-5D6E-409C-BE32-E72D297353CC}">
              <c16:uniqueId val="{00000002-86B4-44EC-989B-8114ACB21FFF}"/>
            </c:ext>
          </c:extLst>
        </c:ser>
        <c:dLbls>
          <c:showLegendKey val="0"/>
          <c:showVal val="0"/>
          <c:showCatName val="0"/>
          <c:showSerName val="0"/>
          <c:showPercent val="0"/>
          <c:showBubbleSize val="0"/>
        </c:dLbls>
        <c:smooth val="0"/>
        <c:axId val="976738639"/>
        <c:axId val="976734479"/>
      </c:lineChart>
      <c:catAx>
        <c:axId val="97673863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b="1"/>
                  <a:t>Dates</a:t>
                </a:r>
              </a:p>
            </c:rich>
          </c:tx>
          <c:layout>
            <c:manualLayout>
              <c:xMode val="edge"/>
              <c:yMode val="edge"/>
              <c:x val="0.4981706686229696"/>
              <c:y val="0.9642092285110642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76734479"/>
        <c:crosses val="autoZero"/>
        <c:auto val="1"/>
        <c:lblAlgn val="ctr"/>
        <c:lblOffset val="100"/>
        <c:noMultiLvlLbl val="0"/>
      </c:catAx>
      <c:valAx>
        <c:axId val="976734479"/>
        <c:scaling>
          <c:orientation val="minMax"/>
          <c:max val="1500"/>
          <c:min val="500"/>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b="1"/>
                  <a:t>Volume de transport (valeur en tonnes)</a:t>
                </a:r>
              </a:p>
            </c:rich>
          </c:tx>
          <c:layout>
            <c:manualLayout>
              <c:xMode val="edge"/>
              <c:yMode val="edge"/>
              <c:x val="7.9828317550262422E-3"/>
              <c:y val="0.402980301666395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76738639"/>
        <c:crosses val="autoZero"/>
        <c:crossBetween val="between"/>
      </c:valAx>
      <c:spPr>
        <a:noFill/>
        <a:ln>
          <a:noFill/>
        </a:ln>
        <a:effectLst/>
      </c:spPr>
    </c:plotArea>
    <c:legend>
      <c:legendPos val="r"/>
      <c:legendEntry>
        <c:idx val="5"/>
        <c:delete val="1"/>
      </c:legendEntry>
      <c:layout>
        <c:manualLayout>
          <c:xMode val="edge"/>
          <c:yMode val="edge"/>
          <c:x val="1.2711338981219003E-2"/>
          <c:y val="2.9419316214798034E-2"/>
          <c:w val="0.31219052648857742"/>
          <c:h val="0.2618086754885675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19292</xdr:colOff>
      <xdr:row>12</xdr:row>
      <xdr:rowOff>77164</xdr:rowOff>
    </xdr:from>
    <xdr:to>
      <xdr:col>26</xdr:col>
      <xdr:colOff>106101</xdr:colOff>
      <xdr:row>41</xdr:row>
      <xdr:rowOff>169156</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568656</xdr:colOff>
      <xdr:row>3</xdr:row>
      <xdr:rowOff>159224</xdr:rowOff>
    </xdr:from>
    <xdr:to>
      <xdr:col>19</xdr:col>
      <xdr:colOff>147850</xdr:colOff>
      <xdr:row>9</xdr:row>
      <xdr:rowOff>147851</xdr:rowOff>
    </xdr:to>
    <xdr:sp macro="" textlink="">
      <xdr:nvSpPr>
        <xdr:cNvPr id="5" name="ZoneTexte 4"/>
        <xdr:cNvSpPr txBox="1"/>
      </xdr:nvSpPr>
      <xdr:spPr>
        <a:xfrm>
          <a:off x="17742089" y="1501254"/>
          <a:ext cx="5606955" cy="1080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a:t>Pour une prévision à court terme, mieux vaut faire une </a:t>
          </a:r>
          <a:r>
            <a:rPr lang="fr-FR" b="1"/>
            <a:t>horizon de 12 mois</a:t>
          </a:r>
          <a:r>
            <a:rPr lang="fr-FR"/>
            <a:t>, en combinant la tendance de croissance avec l'ajustement saisonnier. Cette approche permet de prendre en compte à la fois les </a:t>
          </a:r>
          <a:r>
            <a:rPr lang="fr-FR" b="1"/>
            <a:t>fluctuations saisonnières</a:t>
          </a:r>
          <a:r>
            <a:rPr lang="fr-FR"/>
            <a:t> et la </a:t>
          </a:r>
          <a:r>
            <a:rPr lang="fr-FR" b="1"/>
            <a:t>tendance</a:t>
          </a:r>
          <a:r>
            <a:rPr lang="fr-FR"/>
            <a:t> à long terme dans  les  prévisions.</a:t>
          </a:r>
          <a:endParaRPr lang="fr-FR" sz="1100"/>
        </a:p>
      </xdr:txBody>
    </xdr:sp>
    <xdr:clientData/>
  </xdr:twoCellAnchor>
  <xdr:twoCellAnchor>
    <xdr:from>
      <xdr:col>1</xdr:col>
      <xdr:colOff>395467</xdr:colOff>
      <xdr:row>10</xdr:row>
      <xdr:rowOff>115747</xdr:rowOff>
    </xdr:from>
    <xdr:to>
      <xdr:col>5</xdr:col>
      <xdr:colOff>598024</xdr:colOff>
      <xdr:row>13</xdr:row>
      <xdr:rowOff>163976</xdr:rowOff>
    </xdr:to>
    <xdr:sp macro="" textlink="">
      <xdr:nvSpPr>
        <xdr:cNvPr id="6" name="ZoneTexte 5"/>
        <xdr:cNvSpPr txBox="1"/>
      </xdr:nvSpPr>
      <xdr:spPr>
        <a:xfrm>
          <a:off x="1186404" y="2748988"/>
          <a:ext cx="4321215" cy="598026"/>
        </a:xfrm>
        <a:prstGeom prst="rect">
          <a:avLst/>
        </a:prstGeom>
        <a:solidFill>
          <a:srgbClr val="FF66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500" b="1"/>
            <a:t>Il s'agit du nombre de tonnes de marchandises transportées par voie routière</a:t>
          </a:r>
        </a:p>
      </xdr:txBody>
    </xdr:sp>
    <xdr:clientData/>
  </xdr:twoCellAnchor>
  <xdr:twoCellAnchor>
    <xdr:from>
      <xdr:col>5</xdr:col>
      <xdr:colOff>28936</xdr:colOff>
      <xdr:row>7</xdr:row>
      <xdr:rowOff>77165</xdr:rowOff>
    </xdr:from>
    <xdr:to>
      <xdr:col>5</xdr:col>
      <xdr:colOff>704127</xdr:colOff>
      <xdr:row>16</xdr:row>
      <xdr:rowOff>115747</xdr:rowOff>
    </xdr:to>
    <xdr:sp macro="" textlink="">
      <xdr:nvSpPr>
        <xdr:cNvPr id="7" name="Triangle isocèle 6"/>
        <xdr:cNvSpPr/>
      </xdr:nvSpPr>
      <xdr:spPr>
        <a:xfrm>
          <a:off x="4938531" y="2160608"/>
          <a:ext cx="675191" cy="1687974"/>
        </a:xfrm>
        <a:prstGeom prst="triangle">
          <a:avLst>
            <a:gd name="adj" fmla="val 49048"/>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5000"/>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411480</xdr:colOff>
      <xdr:row>1</xdr:row>
      <xdr:rowOff>99060</xdr:rowOff>
    </xdr:from>
    <xdr:to>
      <xdr:col>9</xdr:col>
      <xdr:colOff>312420</xdr:colOff>
      <xdr:row>5</xdr:row>
      <xdr:rowOff>68580</xdr:rowOff>
    </xdr:to>
    <xdr:sp macro="" textlink="">
      <xdr:nvSpPr>
        <xdr:cNvPr id="2" name="ZoneTexte 1"/>
        <xdr:cNvSpPr txBox="1"/>
      </xdr:nvSpPr>
      <xdr:spPr>
        <a:xfrm>
          <a:off x="1203960" y="281940"/>
          <a:ext cx="6240780" cy="701040"/>
        </a:xfrm>
        <a:prstGeom prst="rect">
          <a:avLst/>
        </a:prstGeom>
        <a:solidFill>
          <a:srgbClr val="FF66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t>6,53699E-13 (soit environ 0) confirme que la somme des coefficients saisonniers "s j" est bien proche de 0.---&gt;Modèle additif</a:t>
          </a:r>
        </a:p>
      </xdr:txBody>
    </xdr:sp>
    <xdr:clientData/>
  </xdr:twoCellAnchor>
  <xdr:twoCellAnchor>
    <xdr:from>
      <xdr:col>1</xdr:col>
      <xdr:colOff>266700</xdr:colOff>
      <xdr:row>7</xdr:row>
      <xdr:rowOff>30480</xdr:rowOff>
    </xdr:from>
    <xdr:to>
      <xdr:col>8</xdr:col>
      <xdr:colOff>426720</xdr:colOff>
      <xdr:row>15</xdr:row>
      <xdr:rowOff>91440</xdr:rowOff>
    </xdr:to>
    <xdr:sp macro="" textlink="">
      <xdr:nvSpPr>
        <xdr:cNvPr id="3" name="ZoneTexte 2"/>
        <xdr:cNvSpPr txBox="1"/>
      </xdr:nvSpPr>
      <xdr:spPr>
        <a:xfrm>
          <a:off x="1059180" y="1310640"/>
          <a:ext cx="5707380" cy="1524000"/>
        </a:xfrm>
        <a:prstGeom prst="rect">
          <a:avLst/>
        </a:prstGeom>
        <a:solidFill>
          <a:srgbClr val="FF66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b="1"/>
            <a:t>D’après ce que je vois en regardant les valeurs de la colonne  s' j , il y a bien des variations saisonnières, mais elles restent à peu près de la même ampleur au fil du temps. Elles ne deviennent pas plus grandes quand les valeurs de la série augmentent, ni plus petites quand elles diminuent.  Si ces écarts saisonniers avaient grandi en même temps que les valeurs de la série, ça aurait voulu dire que le modèle était multiplicatif. Mais ici, comme les fluctuations restent stables, ça correspond plutôt à un modèle additif.  En gros, ça veut dire que les variations saisonnières se rajoutent aux valeurs de la série au lieu de s’y multiplier. Donc, je peux conclure que mon modèle est additif!</a:t>
          </a:r>
          <a:endParaRPr lang="fr-FR"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586740</xdr:colOff>
      <xdr:row>9</xdr:row>
      <xdr:rowOff>53340</xdr:rowOff>
    </xdr:to>
    <xdr:sp macro="" textlink="">
      <xdr:nvSpPr>
        <xdr:cNvPr id="2" name="ZoneTexte 1"/>
        <xdr:cNvSpPr txBox="1"/>
      </xdr:nvSpPr>
      <xdr:spPr>
        <a:xfrm>
          <a:off x="0" y="0"/>
          <a:ext cx="6134100" cy="1699260"/>
        </a:xfrm>
        <a:prstGeom prst="rect">
          <a:avLst/>
        </a:prstGeom>
        <a:solidFill>
          <a:srgbClr val="FF66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500" b="1" u="sng"/>
            <a:t>La tendance est haussière </a:t>
          </a:r>
        </a:p>
        <a:p>
          <a:endParaRPr lang="fr-FR"/>
        </a:p>
        <a:p>
          <a:endParaRPr lang="fr-FR"/>
        </a:p>
        <a:p>
          <a:r>
            <a:rPr lang="fr-FR" b="1"/>
            <a:t>Saisonnalité</a:t>
          </a:r>
          <a:r>
            <a:rPr lang="fr-FR"/>
            <a:t> :</a:t>
          </a:r>
          <a:r>
            <a:rPr lang="fr-FR" b="1"/>
            <a:t>Janvier-Février</a:t>
          </a:r>
          <a:r>
            <a:rPr lang="fr-FR"/>
            <a:t> : Volume plus faible après la fin d’année.</a:t>
          </a:r>
        </a:p>
        <a:p>
          <a:r>
            <a:rPr lang="fr-FR" b="1"/>
            <a:t>Mars-Mai</a:t>
          </a:r>
          <a:r>
            <a:rPr lang="fr-FR"/>
            <a:t> : Croissance progressive avec une demande qui reprend.</a:t>
          </a:r>
        </a:p>
        <a:p>
          <a:r>
            <a:rPr lang="fr-FR" b="1"/>
            <a:t>Juin-Août</a:t>
          </a:r>
          <a:r>
            <a:rPr lang="fr-FR"/>
            <a:t> : Forte activité liée aux vacances et à la consommation estivale.</a:t>
          </a:r>
        </a:p>
        <a:p>
          <a:r>
            <a:rPr lang="fr-FR" b="1"/>
            <a:t>Septembre-Novembre</a:t>
          </a:r>
          <a:r>
            <a:rPr lang="fr-FR"/>
            <a:t> : Retour à un volume modéré après l’été.</a:t>
          </a:r>
        </a:p>
        <a:p>
          <a:r>
            <a:rPr lang="fr-FR" b="1"/>
            <a:t>Décembre</a:t>
          </a:r>
          <a:r>
            <a:rPr lang="fr-FR"/>
            <a:t> : Pic saisonnier en raison des préparations pour les fêtes et de la consommation accrue.</a:t>
          </a:r>
        </a:p>
        <a:p>
          <a:endParaRPr lang="fr-FR" sz="1100"/>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9"/>
  <sheetViews>
    <sheetView workbookViewId="0">
      <selection activeCell="C7" sqref="C7"/>
    </sheetView>
  </sheetViews>
  <sheetFormatPr baseColWidth="10" defaultRowHeight="14.4" x14ac:dyDescent="0.3"/>
  <cols>
    <col min="1" max="1" width="7.6640625" style="6" bestFit="1" customWidth="1"/>
    <col min="2" max="2" width="42.109375" style="6" bestFit="1" customWidth="1"/>
  </cols>
  <sheetData>
    <row r="1" spans="1:2" x14ac:dyDescent="0.3">
      <c r="A1" s="4" t="s">
        <v>0</v>
      </c>
      <c r="B1" s="4" t="s">
        <v>37</v>
      </c>
    </row>
    <row r="2" spans="1:2" x14ac:dyDescent="0.3">
      <c r="A2" s="6" t="s">
        <v>1</v>
      </c>
      <c r="B2" s="6">
        <v>500</v>
      </c>
    </row>
    <row r="3" spans="1:2" x14ac:dyDescent="0.3">
      <c r="A3" s="6" t="s">
        <v>2</v>
      </c>
      <c r="B3" s="6">
        <v>520</v>
      </c>
    </row>
    <row r="4" spans="1:2" x14ac:dyDescent="0.3">
      <c r="A4" s="6" t="s">
        <v>3</v>
      </c>
      <c r="B4" s="6">
        <v>550</v>
      </c>
    </row>
    <row r="5" spans="1:2" x14ac:dyDescent="0.3">
      <c r="A5" s="6" t="s">
        <v>4</v>
      </c>
      <c r="B5" s="6">
        <v>600</v>
      </c>
    </row>
    <row r="6" spans="1:2" x14ac:dyDescent="0.3">
      <c r="A6" s="6" t="s">
        <v>5</v>
      </c>
      <c r="B6" s="6">
        <v>650</v>
      </c>
    </row>
    <row r="7" spans="1:2" x14ac:dyDescent="0.3">
      <c r="A7" s="6" t="s">
        <v>6</v>
      </c>
      <c r="B7" s="6">
        <v>800</v>
      </c>
    </row>
    <row r="8" spans="1:2" x14ac:dyDescent="0.3">
      <c r="A8" s="6" t="s">
        <v>7</v>
      </c>
      <c r="B8" s="6">
        <v>900</v>
      </c>
    </row>
    <row r="9" spans="1:2" x14ac:dyDescent="0.3">
      <c r="A9" s="6" t="s">
        <v>8</v>
      </c>
      <c r="B9" s="6">
        <v>850</v>
      </c>
    </row>
    <row r="10" spans="1:2" x14ac:dyDescent="0.3">
      <c r="A10" s="6" t="s">
        <v>9</v>
      </c>
      <c r="B10" s="6">
        <v>700</v>
      </c>
    </row>
    <row r="11" spans="1:2" x14ac:dyDescent="0.3">
      <c r="A11" s="6" t="s">
        <v>10</v>
      </c>
      <c r="B11" s="6">
        <v>650</v>
      </c>
    </row>
    <row r="12" spans="1:2" x14ac:dyDescent="0.3">
      <c r="A12" s="6" t="s">
        <v>11</v>
      </c>
      <c r="B12" s="6">
        <v>680</v>
      </c>
    </row>
    <row r="13" spans="1:2" x14ac:dyDescent="0.3">
      <c r="A13" s="6" t="s">
        <v>12</v>
      </c>
      <c r="B13" s="6">
        <v>950</v>
      </c>
    </row>
    <row r="14" spans="1:2" x14ac:dyDescent="0.3">
      <c r="A14" s="6" t="s">
        <v>13</v>
      </c>
      <c r="B14" s="6">
        <v>550</v>
      </c>
    </row>
    <row r="15" spans="1:2" x14ac:dyDescent="0.3">
      <c r="A15" s="6" t="s">
        <v>14</v>
      </c>
      <c r="B15" s="6">
        <v>570</v>
      </c>
    </row>
    <row r="16" spans="1:2" x14ac:dyDescent="0.3">
      <c r="A16" s="6" t="s">
        <v>15</v>
      </c>
      <c r="B16" s="6">
        <v>600</v>
      </c>
    </row>
    <row r="17" spans="1:2" x14ac:dyDescent="0.3">
      <c r="A17" s="6" t="s">
        <v>16</v>
      </c>
      <c r="B17" s="6">
        <v>650</v>
      </c>
    </row>
    <row r="18" spans="1:2" x14ac:dyDescent="0.3">
      <c r="A18" s="6" t="s">
        <v>17</v>
      </c>
      <c r="B18" s="6">
        <v>700</v>
      </c>
    </row>
    <row r="19" spans="1:2" x14ac:dyDescent="0.3">
      <c r="A19" s="6" t="s">
        <v>18</v>
      </c>
      <c r="B19" s="6">
        <v>850</v>
      </c>
    </row>
    <row r="20" spans="1:2" x14ac:dyDescent="0.3">
      <c r="A20" s="6" t="s">
        <v>19</v>
      </c>
      <c r="B20" s="6">
        <v>950</v>
      </c>
    </row>
    <row r="21" spans="1:2" x14ac:dyDescent="0.3">
      <c r="A21" s="6" t="s">
        <v>20</v>
      </c>
      <c r="B21" s="6">
        <v>900</v>
      </c>
    </row>
    <row r="22" spans="1:2" x14ac:dyDescent="0.3">
      <c r="A22" s="6" t="s">
        <v>21</v>
      </c>
      <c r="B22" s="6">
        <v>750</v>
      </c>
    </row>
    <row r="23" spans="1:2" x14ac:dyDescent="0.3">
      <c r="A23" s="6" t="s">
        <v>22</v>
      </c>
      <c r="B23" s="6">
        <v>700</v>
      </c>
    </row>
    <row r="24" spans="1:2" x14ac:dyDescent="0.3">
      <c r="A24" s="6" t="s">
        <v>23</v>
      </c>
      <c r="B24" s="6">
        <v>730</v>
      </c>
    </row>
    <row r="25" spans="1:2" x14ac:dyDescent="0.3">
      <c r="A25" s="6" t="s">
        <v>24</v>
      </c>
      <c r="B25" s="6">
        <v>1000</v>
      </c>
    </row>
    <row r="26" spans="1:2" x14ac:dyDescent="0.3">
      <c r="A26" s="6" t="s">
        <v>25</v>
      </c>
      <c r="B26" s="6">
        <v>600</v>
      </c>
    </row>
    <row r="27" spans="1:2" x14ac:dyDescent="0.3">
      <c r="A27" s="6" t="s">
        <v>26</v>
      </c>
      <c r="B27" s="6">
        <v>620</v>
      </c>
    </row>
    <row r="28" spans="1:2" x14ac:dyDescent="0.3">
      <c r="A28" s="6" t="s">
        <v>27</v>
      </c>
      <c r="B28" s="6">
        <v>650</v>
      </c>
    </row>
    <row r="29" spans="1:2" x14ac:dyDescent="0.3">
      <c r="A29" s="6" t="s">
        <v>28</v>
      </c>
      <c r="B29" s="6">
        <v>700</v>
      </c>
    </row>
    <row r="30" spans="1:2" x14ac:dyDescent="0.3">
      <c r="A30" s="6" t="s">
        <v>29</v>
      </c>
      <c r="B30" s="6">
        <v>750</v>
      </c>
    </row>
    <row r="31" spans="1:2" x14ac:dyDescent="0.3">
      <c r="A31" s="6" t="s">
        <v>30</v>
      </c>
      <c r="B31" s="6">
        <v>900</v>
      </c>
    </row>
    <row r="32" spans="1:2" x14ac:dyDescent="0.3">
      <c r="A32" s="6" t="s">
        <v>31</v>
      </c>
      <c r="B32" s="6">
        <v>1050</v>
      </c>
    </row>
    <row r="33" spans="1:2" x14ac:dyDescent="0.3">
      <c r="A33" s="6" t="s">
        <v>32</v>
      </c>
      <c r="B33" s="6">
        <v>980</v>
      </c>
    </row>
    <row r="34" spans="1:2" x14ac:dyDescent="0.3">
      <c r="A34" s="6" t="s">
        <v>33</v>
      </c>
      <c r="B34" s="6">
        <v>800</v>
      </c>
    </row>
    <row r="35" spans="1:2" x14ac:dyDescent="0.3">
      <c r="A35" s="6" t="s">
        <v>34</v>
      </c>
      <c r="B35" s="6">
        <v>750</v>
      </c>
    </row>
    <row r="36" spans="1:2" x14ac:dyDescent="0.3">
      <c r="A36" s="6" t="s">
        <v>35</v>
      </c>
      <c r="B36" s="6">
        <v>780</v>
      </c>
    </row>
    <row r="37" spans="1:2" s="49" customFormat="1" x14ac:dyDescent="0.3">
      <c r="A37" s="18" t="s">
        <v>36</v>
      </c>
      <c r="B37" s="18">
        <v>1100</v>
      </c>
    </row>
    <row r="38" spans="1:2" s="48" customFormat="1" x14ac:dyDescent="0.3">
      <c r="A38" s="47" t="s">
        <v>51</v>
      </c>
      <c r="B38" s="8" t="s">
        <v>63</v>
      </c>
    </row>
    <row r="39" spans="1:2" s="48" customFormat="1" x14ac:dyDescent="0.3">
      <c r="A39" s="47" t="s">
        <v>52</v>
      </c>
      <c r="B39" s="8" t="s">
        <v>63</v>
      </c>
    </row>
    <row r="40" spans="1:2" s="48" customFormat="1" x14ac:dyDescent="0.3">
      <c r="A40" s="47" t="s">
        <v>53</v>
      </c>
      <c r="B40" s="8" t="s">
        <v>63</v>
      </c>
    </row>
    <row r="41" spans="1:2" s="48" customFormat="1" x14ac:dyDescent="0.3">
      <c r="A41" s="47" t="s">
        <v>54</v>
      </c>
      <c r="B41" s="8" t="s">
        <v>63</v>
      </c>
    </row>
    <row r="42" spans="1:2" s="48" customFormat="1" x14ac:dyDescent="0.3">
      <c r="A42" s="47" t="s">
        <v>55</v>
      </c>
      <c r="B42" s="8" t="s">
        <v>63</v>
      </c>
    </row>
    <row r="43" spans="1:2" s="48" customFormat="1" x14ac:dyDescent="0.3">
      <c r="A43" s="47" t="s">
        <v>56</v>
      </c>
      <c r="B43" s="8" t="s">
        <v>63</v>
      </c>
    </row>
    <row r="44" spans="1:2" s="48" customFormat="1" x14ac:dyDescent="0.3">
      <c r="A44" s="47" t="s">
        <v>57</v>
      </c>
      <c r="B44" s="8" t="s">
        <v>63</v>
      </c>
    </row>
    <row r="45" spans="1:2" s="48" customFormat="1" x14ac:dyDescent="0.3">
      <c r="A45" s="47" t="s">
        <v>62</v>
      </c>
      <c r="B45" s="8" t="s">
        <v>63</v>
      </c>
    </row>
    <row r="46" spans="1:2" s="48" customFormat="1" x14ac:dyDescent="0.3">
      <c r="A46" s="47" t="s">
        <v>58</v>
      </c>
      <c r="B46" s="8" t="s">
        <v>63</v>
      </c>
    </row>
    <row r="47" spans="1:2" s="48" customFormat="1" x14ac:dyDescent="0.3">
      <c r="A47" s="47" t="s">
        <v>59</v>
      </c>
      <c r="B47" s="8" t="s">
        <v>63</v>
      </c>
    </row>
    <row r="48" spans="1:2" s="48" customFormat="1" x14ac:dyDescent="0.3">
      <c r="A48" s="47" t="s">
        <v>60</v>
      </c>
      <c r="B48" s="8" t="s">
        <v>63</v>
      </c>
    </row>
    <row r="49" spans="1:2" s="48" customFormat="1" x14ac:dyDescent="0.3">
      <c r="A49" s="47" t="s">
        <v>61</v>
      </c>
      <c r="B49" s="8" t="s">
        <v>63</v>
      </c>
    </row>
  </sheetData>
  <autoFilter ref="A1:B8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FF"/>
  </sheetPr>
  <dimension ref="A1:Q85"/>
  <sheetViews>
    <sheetView tabSelected="1" zoomScale="79" zoomScaleNormal="90" workbookViewId="0">
      <selection activeCell="F11" sqref="F11"/>
    </sheetView>
  </sheetViews>
  <sheetFormatPr baseColWidth="10" defaultRowHeight="14.4" x14ac:dyDescent="0.3"/>
  <cols>
    <col min="1" max="1" width="11.5546875" style="7"/>
    <col min="2" max="2" width="25.44140625" style="9" customWidth="1"/>
    <col min="3" max="3" width="11.5546875" style="7"/>
    <col min="4" max="5" width="11.5546875" style="6"/>
    <col min="6" max="6" width="33.88671875" style="6" bestFit="1" customWidth="1"/>
    <col min="7" max="7" width="21.77734375" style="6" customWidth="1"/>
    <col min="8" max="8" width="15.77734375" style="6" bestFit="1" customWidth="1"/>
    <col min="9" max="9" width="16.33203125" style="6" bestFit="1" customWidth="1"/>
    <col min="10" max="10" width="33.44140625" style="6" bestFit="1" customWidth="1"/>
    <col min="11" max="11" width="33.77734375" style="6" bestFit="1" customWidth="1"/>
    <col min="12" max="16" width="11.5546875" style="6"/>
    <col min="17" max="17" width="18.21875" style="6" bestFit="1" customWidth="1"/>
    <col min="18" max="16384" width="11.5546875" style="6"/>
  </cols>
  <sheetData>
    <row r="1" spans="1:17" s="28" customFormat="1" ht="77.400000000000006" customHeight="1" x14ac:dyDescent="0.3">
      <c r="A1" s="21" t="s">
        <v>0</v>
      </c>
      <c r="B1" s="22" t="s">
        <v>39</v>
      </c>
      <c r="C1" s="23" t="s">
        <v>38</v>
      </c>
      <c r="D1" s="21" t="s">
        <v>37</v>
      </c>
      <c r="E1" s="24" t="s">
        <v>43</v>
      </c>
      <c r="F1" s="25" t="s">
        <v>44</v>
      </c>
      <c r="G1" s="26" t="s">
        <v>45</v>
      </c>
      <c r="H1" s="27" t="s">
        <v>46</v>
      </c>
      <c r="I1" s="26" t="s">
        <v>47</v>
      </c>
      <c r="J1" s="26" t="s">
        <v>48</v>
      </c>
      <c r="K1" s="26" t="s">
        <v>49</v>
      </c>
      <c r="L1" s="30" t="s">
        <v>50</v>
      </c>
      <c r="M1" s="26"/>
      <c r="N1" s="26"/>
      <c r="O1" s="26"/>
      <c r="P1" s="26"/>
      <c r="Q1" s="26"/>
    </row>
    <row r="2" spans="1:17" customFormat="1" x14ac:dyDescent="0.3">
      <c r="A2" s="1" t="s">
        <v>1</v>
      </c>
      <c r="B2" s="11" t="s">
        <v>40</v>
      </c>
      <c r="C2" s="12">
        <v>1</v>
      </c>
      <c r="D2" s="1">
        <v>500</v>
      </c>
      <c r="E2" s="19"/>
      <c r="F2" s="20"/>
      <c r="G2" s="6">
        <f>AVERAGEIF($C$8:$C$31,C2,$F$8:$F$31)</f>
        <v>-171.875</v>
      </c>
      <c r="H2" s="6">
        <f>G2-AVERAGE($G$2:$G$13)</f>
        <v>-170.1909722222222</v>
      </c>
      <c r="I2" s="6">
        <f>D2-H2</f>
        <v>670.19097222222217</v>
      </c>
      <c r="J2" s="29"/>
      <c r="K2" s="6">
        <f>SLOPE($I$2:$I$37,$C$2:$C$37)*C2+INTERCEPT($I$2:$I$37,$C$2:$C$37)+H2</f>
        <v>549.76228632478671</v>
      </c>
      <c r="L2" s="29"/>
      <c r="M2" s="6"/>
      <c r="N2" s="6"/>
      <c r="O2" s="6"/>
      <c r="P2" s="6"/>
      <c r="Q2" s="6"/>
    </row>
    <row r="3" spans="1:17" customFormat="1" x14ac:dyDescent="0.3">
      <c r="A3" s="1" t="s">
        <v>2</v>
      </c>
      <c r="B3" s="11" t="s">
        <v>40</v>
      </c>
      <c r="C3" s="12">
        <v>2</v>
      </c>
      <c r="D3" s="1">
        <v>520</v>
      </c>
      <c r="E3" s="13"/>
      <c r="F3" s="14"/>
      <c r="G3" s="6">
        <f t="shared" ref="G3:G37" si="0">AVERAGEIF($C$8:$C$31,C3,$F$8:$F$31)</f>
        <v>-153.54166666666669</v>
      </c>
      <c r="H3" s="6">
        <f t="shared" ref="H3:H37" si="1">G3-AVERAGE($G$2:$G$13)</f>
        <v>-151.85763888888889</v>
      </c>
      <c r="I3" s="6">
        <f t="shared" ref="I3:I37" si="2">D3-H3</f>
        <v>671.85763888888891</v>
      </c>
      <c r="J3" s="29"/>
      <c r="K3" s="6">
        <f t="shared" ref="K3:K38" si="3">SLOPE($I$2:$I$37,$C$2:$C$37)*C3+INTERCEPT($I$2:$I$37,$C$2:$C$37)+H3</f>
        <v>573.45765345765369</v>
      </c>
      <c r="L3" s="29"/>
      <c r="M3" s="6"/>
      <c r="N3" s="6"/>
      <c r="O3" s="6"/>
      <c r="P3" s="6"/>
      <c r="Q3" s="6"/>
    </row>
    <row r="4" spans="1:17" customFormat="1" x14ac:dyDescent="0.3">
      <c r="A4" s="1" t="s">
        <v>3</v>
      </c>
      <c r="B4" s="11" t="s">
        <v>40</v>
      </c>
      <c r="C4" s="12">
        <v>3</v>
      </c>
      <c r="D4" s="1">
        <v>550</v>
      </c>
      <c r="E4" s="13"/>
      <c r="F4" s="14"/>
      <c r="G4" s="6">
        <f t="shared" si="0"/>
        <v>-132.5</v>
      </c>
      <c r="H4" s="6">
        <f t="shared" si="1"/>
        <v>-130.8159722222222</v>
      </c>
      <c r="I4" s="6">
        <f t="shared" si="2"/>
        <v>680.81597222222217</v>
      </c>
      <c r="J4" s="29"/>
      <c r="K4" s="6">
        <f t="shared" si="3"/>
        <v>599.86135392385427</v>
      </c>
      <c r="L4" s="29"/>
      <c r="M4" s="6"/>
      <c r="N4" s="6"/>
      <c r="O4" s="6"/>
      <c r="P4" s="6"/>
      <c r="Q4" s="6"/>
    </row>
    <row r="5" spans="1:17" customFormat="1" x14ac:dyDescent="0.3">
      <c r="A5" s="1" t="s">
        <v>4</v>
      </c>
      <c r="B5" s="11" t="s">
        <v>40</v>
      </c>
      <c r="C5" s="12">
        <v>4</v>
      </c>
      <c r="D5" s="1">
        <v>600</v>
      </c>
      <c r="E5" s="13"/>
      <c r="F5" s="14"/>
      <c r="G5" s="6">
        <f t="shared" si="0"/>
        <v>-90</v>
      </c>
      <c r="H5" s="6">
        <f t="shared" si="1"/>
        <v>-88.3159722222222</v>
      </c>
      <c r="I5" s="6">
        <f t="shared" si="2"/>
        <v>688.31597222222217</v>
      </c>
      <c r="J5" s="29"/>
      <c r="K5" s="6">
        <f t="shared" si="3"/>
        <v>647.7233877233881</v>
      </c>
      <c r="L5" s="29"/>
      <c r="M5" s="6"/>
      <c r="N5" s="6"/>
      <c r="O5" s="6"/>
      <c r="P5" s="6"/>
      <c r="Q5" s="6"/>
    </row>
    <row r="6" spans="1:17" customFormat="1" x14ac:dyDescent="0.3">
      <c r="A6" s="1" t="s">
        <v>5</v>
      </c>
      <c r="B6" s="11" t="s">
        <v>40</v>
      </c>
      <c r="C6" s="12">
        <v>5</v>
      </c>
      <c r="D6" s="1">
        <v>650</v>
      </c>
      <c r="E6" s="13"/>
      <c r="F6" s="14"/>
      <c r="G6" s="6">
        <f t="shared" si="0"/>
        <v>-54.166666666666686</v>
      </c>
      <c r="H6" s="6">
        <f t="shared" si="1"/>
        <v>-52.482638888888886</v>
      </c>
      <c r="I6" s="6">
        <f t="shared" si="2"/>
        <v>702.48263888888891</v>
      </c>
      <c r="J6" s="29"/>
      <c r="K6" s="6">
        <f t="shared" si="3"/>
        <v>688.91875485625508</v>
      </c>
      <c r="L6" s="29"/>
      <c r="M6" s="6"/>
      <c r="N6" s="6"/>
      <c r="O6" s="6"/>
      <c r="P6" s="6"/>
      <c r="Q6" s="6"/>
    </row>
    <row r="7" spans="1:17" customFormat="1" x14ac:dyDescent="0.3">
      <c r="A7" s="1" t="s">
        <v>6</v>
      </c>
      <c r="B7" s="11" t="s">
        <v>40</v>
      </c>
      <c r="C7" s="12">
        <v>6</v>
      </c>
      <c r="D7" s="1">
        <v>800</v>
      </c>
      <c r="E7" s="13"/>
      <c r="F7" s="14"/>
      <c r="G7" s="6">
        <f t="shared" si="0"/>
        <v>118.54166666666663</v>
      </c>
      <c r="H7" s="6">
        <f t="shared" si="1"/>
        <v>120.22569444444443</v>
      </c>
      <c r="I7" s="6">
        <f t="shared" si="2"/>
        <v>679.77430555555554</v>
      </c>
      <c r="J7" s="29"/>
      <c r="K7" s="6">
        <f t="shared" si="3"/>
        <v>866.98912198912228</v>
      </c>
      <c r="L7" s="29"/>
      <c r="M7" s="6"/>
      <c r="N7" s="6"/>
      <c r="O7" s="6"/>
      <c r="P7" s="6"/>
      <c r="Q7" s="6"/>
    </row>
    <row r="8" spans="1:17" customFormat="1" x14ac:dyDescent="0.3">
      <c r="A8" s="1" t="s">
        <v>7</v>
      </c>
      <c r="B8" s="11" t="s">
        <v>40</v>
      </c>
      <c r="C8" s="12">
        <v>7</v>
      </c>
      <c r="D8" s="1">
        <v>900</v>
      </c>
      <c r="E8" s="2">
        <f>(SUM(D3:D13)+0.5*SUM(D3,D14))/12</f>
        <v>698.75</v>
      </c>
      <c r="F8" s="7">
        <f>D8-E8</f>
        <v>201.25</v>
      </c>
      <c r="G8" s="6">
        <f t="shared" si="0"/>
        <v>201.25</v>
      </c>
      <c r="H8" s="6">
        <f t="shared" si="1"/>
        <v>202.9340277777778</v>
      </c>
      <c r="I8" s="6">
        <f t="shared" si="2"/>
        <v>697.06597222222217</v>
      </c>
      <c r="J8" s="6">
        <f>F8-H8</f>
        <v>-1.6840277777777999</v>
      </c>
      <c r="K8" s="6">
        <f t="shared" si="3"/>
        <v>955.05948912198949</v>
      </c>
      <c r="L8" s="29"/>
      <c r="M8" s="6"/>
      <c r="N8" s="6"/>
      <c r="O8" s="6"/>
      <c r="P8" s="6"/>
      <c r="Q8" s="6"/>
    </row>
    <row r="9" spans="1:17" customFormat="1" x14ac:dyDescent="0.3">
      <c r="A9" s="1" t="s">
        <v>8</v>
      </c>
      <c r="B9" s="11" t="s">
        <v>40</v>
      </c>
      <c r="C9" s="12">
        <v>8</v>
      </c>
      <c r="D9" s="1">
        <v>850</v>
      </c>
      <c r="E9" s="2">
        <f t="shared" ref="E9:E37" si="4">(SUM(D4:D14)+0.5*SUM(D4,D15))/12</f>
        <v>703.33333333333337</v>
      </c>
      <c r="F9" s="7">
        <f t="shared" ref="F9:F37" si="5">D9-E9</f>
        <v>146.66666666666663</v>
      </c>
      <c r="G9" s="6">
        <f t="shared" si="0"/>
        <v>146.66666666666663</v>
      </c>
      <c r="H9" s="6">
        <f t="shared" si="1"/>
        <v>148.35069444444443</v>
      </c>
      <c r="I9" s="6">
        <f t="shared" si="2"/>
        <v>701.64930555555554</v>
      </c>
      <c r="J9" s="6">
        <f t="shared" ref="J9:J37" si="6">F9-H9</f>
        <v>-1.6840277777777999</v>
      </c>
      <c r="K9" s="6">
        <f t="shared" si="3"/>
        <v>905.83818958818995</v>
      </c>
      <c r="L9" s="29"/>
      <c r="M9" s="6"/>
      <c r="N9" s="6"/>
      <c r="O9" s="6"/>
      <c r="P9" s="6"/>
      <c r="Q9" s="6"/>
    </row>
    <row r="10" spans="1:17" customFormat="1" x14ac:dyDescent="0.3">
      <c r="A10" s="1" t="s">
        <v>9</v>
      </c>
      <c r="B10" s="11" t="s">
        <v>40</v>
      </c>
      <c r="C10" s="12">
        <v>9</v>
      </c>
      <c r="D10" s="1">
        <v>700</v>
      </c>
      <c r="E10" s="2">
        <f t="shared" si="4"/>
        <v>708.33333333333337</v>
      </c>
      <c r="F10" s="7">
        <f t="shared" si="5"/>
        <v>-8.3333333333333712</v>
      </c>
      <c r="G10" s="6">
        <f t="shared" si="0"/>
        <v>-8.3333333333333712</v>
      </c>
      <c r="H10" s="6">
        <f t="shared" si="1"/>
        <v>-6.6493055555555713</v>
      </c>
      <c r="I10" s="6">
        <f t="shared" si="2"/>
        <v>706.64930555555554</v>
      </c>
      <c r="J10" s="6">
        <f t="shared" si="6"/>
        <v>-1.6840277777777999</v>
      </c>
      <c r="K10" s="6">
        <f t="shared" si="3"/>
        <v>756.20022338772367</v>
      </c>
      <c r="L10" s="29"/>
      <c r="M10" s="6"/>
      <c r="N10" s="6"/>
      <c r="O10" s="6"/>
      <c r="P10" s="6"/>
      <c r="Q10" s="6"/>
    </row>
    <row r="11" spans="1:17" customFormat="1" x14ac:dyDescent="0.3">
      <c r="A11" s="1" t="s">
        <v>10</v>
      </c>
      <c r="B11" s="11" t="s">
        <v>40</v>
      </c>
      <c r="C11" s="12">
        <v>10</v>
      </c>
      <c r="D11" s="1">
        <v>650</v>
      </c>
      <c r="E11" s="2">
        <f t="shared" si="4"/>
        <v>712.5</v>
      </c>
      <c r="F11" s="7">
        <f t="shared" si="5"/>
        <v>-62.5</v>
      </c>
      <c r="G11" s="6">
        <f t="shared" si="0"/>
        <v>-62.5</v>
      </c>
      <c r="H11" s="6">
        <f t="shared" si="1"/>
        <v>-60.8159722222222</v>
      </c>
      <c r="I11" s="6">
        <f t="shared" si="2"/>
        <v>710.81597222222217</v>
      </c>
      <c r="J11" s="6">
        <f t="shared" si="6"/>
        <v>-1.6840277777777999</v>
      </c>
      <c r="K11" s="6">
        <f t="shared" si="3"/>
        <v>707.39559052059087</v>
      </c>
      <c r="L11" s="29"/>
      <c r="M11" s="6"/>
      <c r="N11" s="6"/>
      <c r="O11" s="6"/>
      <c r="P11" s="6"/>
      <c r="Q11" s="6"/>
    </row>
    <row r="12" spans="1:17" customFormat="1" x14ac:dyDescent="0.3">
      <c r="A12" s="1" t="s">
        <v>11</v>
      </c>
      <c r="B12" s="11" t="s">
        <v>40</v>
      </c>
      <c r="C12" s="12">
        <v>11</v>
      </c>
      <c r="D12" s="1">
        <v>680</v>
      </c>
      <c r="E12" s="2">
        <f t="shared" si="4"/>
        <v>720.83333333333337</v>
      </c>
      <c r="F12" s="7">
        <f t="shared" si="5"/>
        <v>-40.833333333333371</v>
      </c>
      <c r="G12" s="6">
        <f t="shared" si="0"/>
        <v>-40.833333333333371</v>
      </c>
      <c r="H12" s="6">
        <f t="shared" si="1"/>
        <v>-39.149305555555571</v>
      </c>
      <c r="I12" s="6">
        <f t="shared" si="2"/>
        <v>719.14930555555554</v>
      </c>
      <c r="J12" s="6">
        <f t="shared" si="6"/>
        <v>-1.6840277777777999</v>
      </c>
      <c r="K12" s="6">
        <f t="shared" si="3"/>
        <v>734.42429098679133</v>
      </c>
      <c r="L12" s="29"/>
      <c r="M12" s="6"/>
      <c r="N12" s="6"/>
      <c r="O12" s="6"/>
      <c r="P12" s="6"/>
      <c r="Q12" s="6"/>
    </row>
    <row r="13" spans="1:17" customFormat="1" x14ac:dyDescent="0.3">
      <c r="A13" s="1" t="s">
        <v>12</v>
      </c>
      <c r="B13" s="11" t="s">
        <v>40</v>
      </c>
      <c r="C13" s="12">
        <v>12</v>
      </c>
      <c r="D13" s="1">
        <v>950</v>
      </c>
      <c r="E13" s="2">
        <f t="shared" si="4"/>
        <v>722.91666666666663</v>
      </c>
      <c r="F13" s="7">
        <f t="shared" si="5"/>
        <v>227.08333333333337</v>
      </c>
      <c r="G13" s="6">
        <f t="shared" si="0"/>
        <v>227.08333333333337</v>
      </c>
      <c r="H13" s="6">
        <f t="shared" si="1"/>
        <v>228.76736111111117</v>
      </c>
      <c r="I13" s="6">
        <f t="shared" si="2"/>
        <v>721.2326388888888</v>
      </c>
      <c r="J13" s="6">
        <f t="shared" si="6"/>
        <v>-1.6840277777777999</v>
      </c>
      <c r="K13" s="6">
        <f t="shared" si="3"/>
        <v>1007.7029914529918</v>
      </c>
      <c r="L13" s="29"/>
      <c r="M13" s="6"/>
      <c r="N13" s="6"/>
      <c r="O13" s="6"/>
      <c r="P13" s="6"/>
      <c r="Q13" s="6"/>
    </row>
    <row r="14" spans="1:17" customFormat="1" x14ac:dyDescent="0.3">
      <c r="A14" s="1" t="s">
        <v>13</v>
      </c>
      <c r="B14" s="11" t="s">
        <v>41</v>
      </c>
      <c r="C14" s="12">
        <v>1</v>
      </c>
      <c r="D14" s="1">
        <v>550</v>
      </c>
      <c r="E14" s="2">
        <f t="shared" si="4"/>
        <v>720.83333333333337</v>
      </c>
      <c r="F14" s="7">
        <f t="shared" si="5"/>
        <v>-170.83333333333337</v>
      </c>
      <c r="G14" s="6">
        <f t="shared" si="0"/>
        <v>-171.875</v>
      </c>
      <c r="H14" s="6">
        <f t="shared" si="1"/>
        <v>-170.1909722222222</v>
      </c>
      <c r="I14" s="6">
        <f t="shared" si="2"/>
        <v>720.19097222222217</v>
      </c>
      <c r="J14" s="6">
        <f t="shared" si="6"/>
        <v>-0.64236111111117111</v>
      </c>
      <c r="K14" s="6">
        <f t="shared" si="3"/>
        <v>549.76228632478671</v>
      </c>
      <c r="L14" s="29"/>
      <c r="M14" s="6"/>
      <c r="N14" s="6"/>
      <c r="O14" s="6"/>
      <c r="P14" s="6"/>
      <c r="Q14" s="6"/>
    </row>
    <row r="15" spans="1:17" customFormat="1" x14ac:dyDescent="0.3">
      <c r="A15" s="1" t="s">
        <v>14</v>
      </c>
      <c r="B15" s="11" t="s">
        <v>41</v>
      </c>
      <c r="C15" s="12">
        <v>2</v>
      </c>
      <c r="D15" s="1">
        <v>570</v>
      </c>
      <c r="E15" s="2">
        <f t="shared" si="4"/>
        <v>720.83333333333337</v>
      </c>
      <c r="F15" s="7">
        <f t="shared" si="5"/>
        <v>-150.83333333333337</v>
      </c>
      <c r="G15" s="6">
        <f t="shared" si="0"/>
        <v>-153.54166666666669</v>
      </c>
      <c r="H15" s="6">
        <f t="shared" si="1"/>
        <v>-151.85763888888889</v>
      </c>
      <c r="I15" s="6">
        <f t="shared" si="2"/>
        <v>721.85763888888891</v>
      </c>
      <c r="J15" s="6">
        <f t="shared" si="6"/>
        <v>1.0243055555555145</v>
      </c>
      <c r="K15" s="6">
        <f t="shared" si="3"/>
        <v>573.45765345765369</v>
      </c>
      <c r="L15" s="29"/>
      <c r="M15" s="6"/>
      <c r="N15" s="6"/>
      <c r="O15" s="6"/>
      <c r="P15" s="6"/>
      <c r="Q15" s="6"/>
    </row>
    <row r="16" spans="1:17" customFormat="1" x14ac:dyDescent="0.3">
      <c r="A16" s="1" t="s">
        <v>15</v>
      </c>
      <c r="B16" s="11" t="s">
        <v>41</v>
      </c>
      <c r="C16" s="12">
        <v>3</v>
      </c>
      <c r="D16" s="1">
        <v>600</v>
      </c>
      <c r="E16" s="2">
        <f t="shared" si="4"/>
        <v>729.16666666666663</v>
      </c>
      <c r="F16" s="7">
        <f t="shared" si="5"/>
        <v>-129.16666666666663</v>
      </c>
      <c r="G16" s="6">
        <f t="shared" si="0"/>
        <v>-132.5</v>
      </c>
      <c r="H16" s="6">
        <f t="shared" si="1"/>
        <v>-130.8159722222222</v>
      </c>
      <c r="I16" s="6">
        <f t="shared" si="2"/>
        <v>730.81597222222217</v>
      </c>
      <c r="J16" s="6">
        <f t="shared" si="6"/>
        <v>1.6493055555555713</v>
      </c>
      <c r="K16" s="6">
        <f t="shared" si="3"/>
        <v>599.86135392385427</v>
      </c>
      <c r="L16" s="29"/>
      <c r="M16" s="6"/>
      <c r="N16" s="6"/>
      <c r="O16" s="6"/>
      <c r="P16" s="6"/>
      <c r="Q16" s="6"/>
    </row>
    <row r="17" spans="1:17" customFormat="1" x14ac:dyDescent="0.3">
      <c r="A17" s="1" t="s">
        <v>16</v>
      </c>
      <c r="B17" s="11" t="s">
        <v>41</v>
      </c>
      <c r="C17" s="12">
        <v>4</v>
      </c>
      <c r="D17" s="1">
        <v>650</v>
      </c>
      <c r="E17" s="2">
        <f t="shared" si="4"/>
        <v>736.66666666666663</v>
      </c>
      <c r="F17" s="7">
        <f t="shared" si="5"/>
        <v>-86.666666666666629</v>
      </c>
      <c r="G17" s="6">
        <f t="shared" si="0"/>
        <v>-90</v>
      </c>
      <c r="H17" s="6">
        <f t="shared" si="1"/>
        <v>-88.3159722222222</v>
      </c>
      <c r="I17" s="6">
        <f t="shared" si="2"/>
        <v>738.31597222222217</v>
      </c>
      <c r="J17" s="6">
        <f t="shared" si="6"/>
        <v>1.6493055555555713</v>
      </c>
      <c r="K17" s="6">
        <f t="shared" si="3"/>
        <v>647.7233877233881</v>
      </c>
      <c r="L17" s="29"/>
      <c r="M17" s="6"/>
      <c r="N17" s="6"/>
      <c r="O17" s="6"/>
      <c r="P17" s="6"/>
      <c r="Q17" s="6"/>
    </row>
    <row r="18" spans="1:17" customFormat="1" x14ac:dyDescent="0.3">
      <c r="A18" s="1" t="s">
        <v>17</v>
      </c>
      <c r="B18" s="11" t="s">
        <v>41</v>
      </c>
      <c r="C18" s="12">
        <v>5</v>
      </c>
      <c r="D18" s="1">
        <v>700</v>
      </c>
      <c r="E18" s="2">
        <f t="shared" si="4"/>
        <v>750.83333333333337</v>
      </c>
      <c r="F18" s="7">
        <f t="shared" si="5"/>
        <v>-50.833333333333371</v>
      </c>
      <c r="G18" s="6">
        <f t="shared" si="0"/>
        <v>-54.166666666666686</v>
      </c>
      <c r="H18" s="6">
        <f t="shared" si="1"/>
        <v>-52.482638888888886</v>
      </c>
      <c r="I18" s="6">
        <f t="shared" si="2"/>
        <v>752.48263888888891</v>
      </c>
      <c r="J18" s="6">
        <f t="shared" si="6"/>
        <v>1.6493055555555145</v>
      </c>
      <c r="K18" s="6">
        <f t="shared" si="3"/>
        <v>688.91875485625508</v>
      </c>
      <c r="L18" s="29"/>
      <c r="M18" s="6"/>
      <c r="N18" s="6"/>
      <c r="O18" s="6"/>
      <c r="P18" s="6"/>
      <c r="Q18" s="6"/>
    </row>
    <row r="19" spans="1:17" customFormat="1" x14ac:dyDescent="0.3">
      <c r="A19" s="1" t="s">
        <v>18</v>
      </c>
      <c r="B19" s="11" t="s">
        <v>41</v>
      </c>
      <c r="C19" s="12">
        <v>6</v>
      </c>
      <c r="D19" s="1">
        <v>850</v>
      </c>
      <c r="E19" s="2">
        <f t="shared" si="4"/>
        <v>727.08333333333337</v>
      </c>
      <c r="F19" s="7">
        <f t="shared" si="5"/>
        <v>122.91666666666663</v>
      </c>
      <c r="G19" s="6">
        <f t="shared" si="0"/>
        <v>118.54166666666663</v>
      </c>
      <c r="H19" s="6">
        <f t="shared" si="1"/>
        <v>120.22569444444443</v>
      </c>
      <c r="I19" s="6">
        <f t="shared" si="2"/>
        <v>729.77430555555554</v>
      </c>
      <c r="J19" s="6">
        <f t="shared" si="6"/>
        <v>2.6909722222222001</v>
      </c>
      <c r="K19" s="6">
        <f t="shared" si="3"/>
        <v>866.98912198912228</v>
      </c>
      <c r="L19" s="29"/>
      <c r="M19" s="6"/>
      <c r="N19" s="6"/>
      <c r="O19" s="6"/>
      <c r="P19" s="6"/>
      <c r="Q19" s="6"/>
    </row>
    <row r="20" spans="1:17" customFormat="1" x14ac:dyDescent="0.3">
      <c r="A20" s="1" t="s">
        <v>19</v>
      </c>
      <c r="B20" s="11" t="s">
        <v>41</v>
      </c>
      <c r="C20" s="12">
        <v>7</v>
      </c>
      <c r="D20" s="1">
        <v>950</v>
      </c>
      <c r="E20" s="2">
        <f t="shared" si="4"/>
        <v>748.75</v>
      </c>
      <c r="F20" s="7">
        <f t="shared" si="5"/>
        <v>201.25</v>
      </c>
      <c r="G20" s="6">
        <f t="shared" si="0"/>
        <v>201.25</v>
      </c>
      <c r="H20" s="6">
        <f t="shared" si="1"/>
        <v>202.9340277777778</v>
      </c>
      <c r="I20" s="6">
        <f t="shared" si="2"/>
        <v>747.06597222222217</v>
      </c>
      <c r="J20" s="6">
        <f t="shared" si="6"/>
        <v>-1.6840277777777999</v>
      </c>
      <c r="K20" s="6">
        <f t="shared" si="3"/>
        <v>955.05948912198949</v>
      </c>
      <c r="L20" s="29"/>
      <c r="M20" s="6"/>
      <c r="N20" s="6"/>
      <c r="O20" s="6"/>
      <c r="P20" s="6"/>
      <c r="Q20" s="6"/>
    </row>
    <row r="21" spans="1:17" customFormat="1" x14ac:dyDescent="0.3">
      <c r="A21" s="1" t="s">
        <v>20</v>
      </c>
      <c r="B21" s="11" t="s">
        <v>41</v>
      </c>
      <c r="C21" s="12">
        <v>8</v>
      </c>
      <c r="D21" s="1">
        <v>900</v>
      </c>
      <c r="E21" s="2">
        <f t="shared" si="4"/>
        <v>753.33333333333337</v>
      </c>
      <c r="F21" s="7">
        <f t="shared" si="5"/>
        <v>146.66666666666663</v>
      </c>
      <c r="G21" s="6">
        <f t="shared" si="0"/>
        <v>146.66666666666663</v>
      </c>
      <c r="H21" s="6">
        <f t="shared" si="1"/>
        <v>148.35069444444443</v>
      </c>
      <c r="I21" s="6">
        <f t="shared" si="2"/>
        <v>751.64930555555554</v>
      </c>
      <c r="J21" s="6">
        <f t="shared" si="6"/>
        <v>-1.6840277777777999</v>
      </c>
      <c r="K21" s="6">
        <f t="shared" si="3"/>
        <v>905.83818958818995</v>
      </c>
      <c r="L21" s="29"/>
      <c r="M21" s="6"/>
      <c r="N21" s="6"/>
      <c r="O21" s="6"/>
      <c r="P21" s="6"/>
      <c r="Q21" s="6"/>
    </row>
    <row r="22" spans="1:17" customFormat="1" x14ac:dyDescent="0.3">
      <c r="A22" s="1" t="s">
        <v>21</v>
      </c>
      <c r="B22" s="11" t="s">
        <v>41</v>
      </c>
      <c r="C22" s="12">
        <v>9</v>
      </c>
      <c r="D22" s="1">
        <v>750</v>
      </c>
      <c r="E22" s="2">
        <f t="shared" si="4"/>
        <v>758.33333333333337</v>
      </c>
      <c r="F22" s="7">
        <f t="shared" si="5"/>
        <v>-8.3333333333333712</v>
      </c>
      <c r="G22" s="6">
        <f t="shared" si="0"/>
        <v>-8.3333333333333712</v>
      </c>
      <c r="H22" s="6">
        <f t="shared" si="1"/>
        <v>-6.6493055555555713</v>
      </c>
      <c r="I22" s="6">
        <f t="shared" si="2"/>
        <v>756.64930555555554</v>
      </c>
      <c r="J22" s="6">
        <f t="shared" si="6"/>
        <v>-1.6840277777777999</v>
      </c>
      <c r="K22" s="6">
        <f t="shared" si="3"/>
        <v>756.20022338772367</v>
      </c>
      <c r="L22" s="29"/>
      <c r="M22" s="6"/>
      <c r="N22" s="6"/>
      <c r="O22" s="6"/>
      <c r="P22" s="6"/>
      <c r="Q22" s="6"/>
    </row>
    <row r="23" spans="1:17" customFormat="1" x14ac:dyDescent="0.3">
      <c r="A23" s="1" t="s">
        <v>22</v>
      </c>
      <c r="B23" s="11" t="s">
        <v>41</v>
      </c>
      <c r="C23" s="12">
        <v>10</v>
      </c>
      <c r="D23" s="1">
        <v>700</v>
      </c>
      <c r="E23" s="2">
        <f t="shared" si="4"/>
        <v>762.5</v>
      </c>
      <c r="F23" s="7">
        <f t="shared" si="5"/>
        <v>-62.5</v>
      </c>
      <c r="G23" s="6">
        <f t="shared" si="0"/>
        <v>-62.5</v>
      </c>
      <c r="H23" s="6">
        <f t="shared" si="1"/>
        <v>-60.8159722222222</v>
      </c>
      <c r="I23" s="6">
        <f t="shared" si="2"/>
        <v>760.81597222222217</v>
      </c>
      <c r="J23" s="6">
        <f t="shared" si="6"/>
        <v>-1.6840277777777999</v>
      </c>
      <c r="K23" s="6">
        <f t="shared" si="3"/>
        <v>707.39559052059087</v>
      </c>
      <c r="L23" s="29"/>
      <c r="M23" s="6"/>
      <c r="N23" s="6"/>
      <c r="O23" s="6"/>
      <c r="P23" s="6"/>
      <c r="Q23" s="6"/>
    </row>
    <row r="24" spans="1:17" customFormat="1" x14ac:dyDescent="0.3">
      <c r="A24" s="1" t="s">
        <v>23</v>
      </c>
      <c r="B24" s="11" t="s">
        <v>41</v>
      </c>
      <c r="C24" s="12">
        <v>11</v>
      </c>
      <c r="D24" s="1">
        <v>730</v>
      </c>
      <c r="E24" s="2">
        <f t="shared" si="4"/>
        <v>770.83333333333337</v>
      </c>
      <c r="F24" s="7">
        <f t="shared" si="5"/>
        <v>-40.833333333333371</v>
      </c>
      <c r="G24" s="6">
        <f t="shared" si="0"/>
        <v>-40.833333333333371</v>
      </c>
      <c r="H24" s="6">
        <f t="shared" si="1"/>
        <v>-39.149305555555571</v>
      </c>
      <c r="I24" s="6">
        <f t="shared" si="2"/>
        <v>769.14930555555554</v>
      </c>
      <c r="J24" s="6">
        <f t="shared" si="6"/>
        <v>-1.6840277777777999</v>
      </c>
      <c r="K24" s="6">
        <f t="shared" si="3"/>
        <v>734.42429098679133</v>
      </c>
      <c r="L24" s="29"/>
      <c r="M24" s="6"/>
      <c r="N24" s="6"/>
      <c r="O24" s="6"/>
      <c r="P24" s="6"/>
      <c r="Q24" s="6"/>
    </row>
    <row r="25" spans="1:17" customFormat="1" x14ac:dyDescent="0.3">
      <c r="A25" s="1" t="s">
        <v>24</v>
      </c>
      <c r="B25" s="11" t="s">
        <v>41</v>
      </c>
      <c r="C25" s="12">
        <v>12</v>
      </c>
      <c r="D25" s="1">
        <v>1000</v>
      </c>
      <c r="E25" s="2">
        <f t="shared" si="4"/>
        <v>772.91666666666663</v>
      </c>
      <c r="F25" s="7">
        <f t="shared" si="5"/>
        <v>227.08333333333337</v>
      </c>
      <c r="G25" s="6">
        <f t="shared" si="0"/>
        <v>227.08333333333337</v>
      </c>
      <c r="H25" s="6">
        <f t="shared" si="1"/>
        <v>228.76736111111117</v>
      </c>
      <c r="I25" s="6">
        <f t="shared" si="2"/>
        <v>771.2326388888888</v>
      </c>
      <c r="J25" s="6">
        <f t="shared" si="6"/>
        <v>-1.6840277777777999</v>
      </c>
      <c r="K25" s="6">
        <f t="shared" si="3"/>
        <v>1007.7029914529918</v>
      </c>
      <c r="L25" s="29"/>
      <c r="M25" s="6"/>
      <c r="N25" s="6"/>
      <c r="O25" s="6"/>
      <c r="P25" s="6"/>
      <c r="Q25" s="6"/>
    </row>
    <row r="26" spans="1:17" s="31" customFormat="1" x14ac:dyDescent="0.3">
      <c r="A26" s="12" t="s">
        <v>25</v>
      </c>
      <c r="B26" s="11" t="s">
        <v>42</v>
      </c>
      <c r="C26" s="12">
        <v>1</v>
      </c>
      <c r="D26" s="12">
        <v>600</v>
      </c>
      <c r="E26" s="12">
        <f t="shared" si="4"/>
        <v>772.91666666666663</v>
      </c>
      <c r="F26" s="3">
        <f t="shared" si="5"/>
        <v>-172.91666666666663</v>
      </c>
      <c r="G26" s="31">
        <f t="shared" si="0"/>
        <v>-171.875</v>
      </c>
      <c r="H26" s="31">
        <f t="shared" si="1"/>
        <v>-170.1909722222222</v>
      </c>
      <c r="I26" s="31">
        <f t="shared" si="2"/>
        <v>770.19097222222217</v>
      </c>
      <c r="J26" s="31">
        <f t="shared" si="6"/>
        <v>-2.7256944444444287</v>
      </c>
      <c r="K26" s="31">
        <f t="shared" si="3"/>
        <v>549.76228632478671</v>
      </c>
      <c r="L26" s="32"/>
    </row>
    <row r="27" spans="1:17" customFormat="1" x14ac:dyDescent="0.3">
      <c r="A27" s="1" t="s">
        <v>26</v>
      </c>
      <c r="B27" s="11" t="s">
        <v>42</v>
      </c>
      <c r="C27" s="12">
        <v>2</v>
      </c>
      <c r="D27" s="1">
        <v>620</v>
      </c>
      <c r="E27" s="2">
        <f t="shared" si="4"/>
        <v>776.25</v>
      </c>
      <c r="F27" s="7">
        <f t="shared" si="5"/>
        <v>-156.25</v>
      </c>
      <c r="G27" s="6">
        <f t="shared" si="0"/>
        <v>-153.54166666666669</v>
      </c>
      <c r="H27" s="6">
        <f t="shared" si="1"/>
        <v>-151.85763888888889</v>
      </c>
      <c r="I27" s="6">
        <f t="shared" si="2"/>
        <v>771.85763888888891</v>
      </c>
      <c r="J27" s="6">
        <f t="shared" si="6"/>
        <v>-4.3923611111111143</v>
      </c>
      <c r="K27" s="6">
        <f t="shared" si="3"/>
        <v>573.45765345765369</v>
      </c>
      <c r="L27" s="29"/>
      <c r="M27" s="6"/>
      <c r="N27" s="6"/>
      <c r="O27" s="6"/>
      <c r="P27" s="6"/>
      <c r="Q27" s="6"/>
    </row>
    <row r="28" spans="1:17" customFormat="1" x14ac:dyDescent="0.3">
      <c r="A28" s="1" t="s">
        <v>27</v>
      </c>
      <c r="B28" s="11" t="s">
        <v>42</v>
      </c>
      <c r="C28" s="12">
        <v>3</v>
      </c>
      <c r="D28" s="1">
        <v>650</v>
      </c>
      <c r="E28" s="2">
        <f t="shared" si="4"/>
        <v>785.83333333333337</v>
      </c>
      <c r="F28" s="7">
        <f t="shared" si="5"/>
        <v>-135.83333333333337</v>
      </c>
      <c r="G28" s="6">
        <f t="shared" si="0"/>
        <v>-132.5</v>
      </c>
      <c r="H28" s="6">
        <f t="shared" si="1"/>
        <v>-130.8159722222222</v>
      </c>
      <c r="I28" s="6">
        <f t="shared" si="2"/>
        <v>780.81597222222217</v>
      </c>
      <c r="J28" s="6">
        <f t="shared" si="6"/>
        <v>-5.0173611111111711</v>
      </c>
      <c r="K28" s="6">
        <f t="shared" si="3"/>
        <v>599.86135392385427</v>
      </c>
      <c r="L28" s="29"/>
      <c r="M28" s="6"/>
      <c r="N28" s="6"/>
      <c r="O28" s="6"/>
      <c r="P28" s="6"/>
      <c r="Q28" s="6"/>
    </row>
    <row r="29" spans="1:17" customFormat="1" x14ac:dyDescent="0.3">
      <c r="A29" s="1" t="s">
        <v>28</v>
      </c>
      <c r="B29" s="11" t="s">
        <v>42</v>
      </c>
      <c r="C29" s="12">
        <v>4</v>
      </c>
      <c r="D29" s="1">
        <v>700</v>
      </c>
      <c r="E29" s="2">
        <f t="shared" si="4"/>
        <v>793.33333333333337</v>
      </c>
      <c r="F29" s="7">
        <f t="shared" si="5"/>
        <v>-93.333333333333371</v>
      </c>
      <c r="G29" s="6">
        <f t="shared" si="0"/>
        <v>-90</v>
      </c>
      <c r="H29" s="6">
        <f t="shared" si="1"/>
        <v>-88.3159722222222</v>
      </c>
      <c r="I29" s="6">
        <f t="shared" si="2"/>
        <v>788.31597222222217</v>
      </c>
      <c r="J29" s="6">
        <f t="shared" si="6"/>
        <v>-5.0173611111111711</v>
      </c>
      <c r="K29" s="6">
        <f t="shared" si="3"/>
        <v>647.7233877233881</v>
      </c>
      <c r="L29" s="29"/>
      <c r="M29" s="6"/>
      <c r="N29" s="6"/>
      <c r="O29" s="6"/>
      <c r="P29" s="6"/>
      <c r="Q29" s="6"/>
    </row>
    <row r="30" spans="1:17" customFormat="1" x14ac:dyDescent="0.3">
      <c r="A30" s="1" t="s">
        <v>29</v>
      </c>
      <c r="B30" s="11" t="s">
        <v>42</v>
      </c>
      <c r="C30" s="12">
        <v>5</v>
      </c>
      <c r="D30" s="1">
        <v>750</v>
      </c>
      <c r="E30" s="2">
        <f t="shared" si="4"/>
        <v>807.5</v>
      </c>
      <c r="F30" s="7">
        <f t="shared" si="5"/>
        <v>-57.5</v>
      </c>
      <c r="G30" s="6">
        <f t="shared" si="0"/>
        <v>-54.166666666666686</v>
      </c>
      <c r="H30" s="6">
        <f t="shared" si="1"/>
        <v>-52.482638888888886</v>
      </c>
      <c r="I30" s="6">
        <f t="shared" si="2"/>
        <v>802.48263888888891</v>
      </c>
      <c r="J30" s="6">
        <f t="shared" si="6"/>
        <v>-5.0173611111111143</v>
      </c>
      <c r="K30" s="6">
        <f t="shared" si="3"/>
        <v>688.91875485625508</v>
      </c>
      <c r="L30" s="29"/>
      <c r="M30" s="6"/>
      <c r="N30" s="6"/>
      <c r="O30" s="6"/>
      <c r="P30" s="6"/>
      <c r="Q30" s="6"/>
    </row>
    <row r="31" spans="1:17" customFormat="1" x14ac:dyDescent="0.3">
      <c r="A31" s="1" t="s">
        <v>30</v>
      </c>
      <c r="B31" s="11" t="s">
        <v>42</v>
      </c>
      <c r="C31" s="12">
        <v>6</v>
      </c>
      <c r="D31" s="1">
        <v>900</v>
      </c>
      <c r="E31" s="2">
        <f t="shared" si="4"/>
        <v>785.83333333333337</v>
      </c>
      <c r="F31" s="7">
        <f t="shared" si="5"/>
        <v>114.16666666666663</v>
      </c>
      <c r="G31" s="6">
        <f t="shared" si="0"/>
        <v>118.54166666666663</v>
      </c>
      <c r="H31" s="6">
        <f t="shared" si="1"/>
        <v>120.22569444444443</v>
      </c>
      <c r="I31" s="6">
        <f t="shared" si="2"/>
        <v>779.77430555555554</v>
      </c>
      <c r="J31" s="6">
        <f t="shared" si="6"/>
        <v>-6.0590277777777999</v>
      </c>
      <c r="K31" s="6">
        <f t="shared" si="3"/>
        <v>866.98912198912228</v>
      </c>
      <c r="L31" s="29"/>
      <c r="M31" s="6"/>
      <c r="N31" s="6"/>
      <c r="O31" s="6"/>
      <c r="P31" s="6"/>
      <c r="Q31" s="6"/>
    </row>
    <row r="32" spans="1:17" customFormat="1" x14ac:dyDescent="0.3">
      <c r="A32" s="1" t="s">
        <v>31</v>
      </c>
      <c r="B32" s="11" t="s">
        <v>42</v>
      </c>
      <c r="C32" s="12">
        <v>7</v>
      </c>
      <c r="D32" s="1">
        <v>1050</v>
      </c>
      <c r="E32" s="13"/>
      <c r="F32" s="14"/>
      <c r="G32" s="6">
        <f t="shared" si="0"/>
        <v>201.25</v>
      </c>
      <c r="H32" s="6">
        <f t="shared" si="1"/>
        <v>202.9340277777778</v>
      </c>
      <c r="I32" s="6">
        <f t="shared" si="2"/>
        <v>847.06597222222217</v>
      </c>
      <c r="J32" s="29"/>
      <c r="K32" s="6">
        <f t="shared" si="3"/>
        <v>955.05948912198949</v>
      </c>
      <c r="L32" s="29"/>
      <c r="M32" s="6"/>
      <c r="N32" s="6"/>
      <c r="O32" s="6"/>
      <c r="P32" s="6"/>
      <c r="Q32" s="6"/>
    </row>
    <row r="33" spans="1:17" customFormat="1" x14ac:dyDescent="0.3">
      <c r="A33" s="1" t="s">
        <v>32</v>
      </c>
      <c r="B33" s="11" t="s">
        <v>42</v>
      </c>
      <c r="C33" s="12">
        <v>8</v>
      </c>
      <c r="D33" s="1">
        <v>980</v>
      </c>
      <c r="E33" s="13"/>
      <c r="F33" s="14"/>
      <c r="G33" s="6">
        <f t="shared" si="0"/>
        <v>146.66666666666663</v>
      </c>
      <c r="H33" s="6">
        <f t="shared" si="1"/>
        <v>148.35069444444443</v>
      </c>
      <c r="I33" s="6">
        <f t="shared" si="2"/>
        <v>831.64930555555554</v>
      </c>
      <c r="J33" s="29"/>
      <c r="K33" s="6">
        <f t="shared" si="3"/>
        <v>905.83818958818995</v>
      </c>
      <c r="L33" s="29"/>
      <c r="M33" s="6"/>
      <c r="N33" s="6"/>
      <c r="O33" s="6"/>
      <c r="P33" s="6"/>
      <c r="Q33" s="6"/>
    </row>
    <row r="34" spans="1:17" customFormat="1" x14ac:dyDescent="0.3">
      <c r="A34" s="1" t="s">
        <v>33</v>
      </c>
      <c r="B34" s="11" t="s">
        <v>42</v>
      </c>
      <c r="C34" s="12">
        <v>9</v>
      </c>
      <c r="D34" s="1">
        <v>800</v>
      </c>
      <c r="E34" s="13"/>
      <c r="F34" s="14"/>
      <c r="G34" s="6">
        <f t="shared" si="0"/>
        <v>-8.3333333333333712</v>
      </c>
      <c r="H34" s="6">
        <f t="shared" si="1"/>
        <v>-6.6493055555555713</v>
      </c>
      <c r="I34" s="6">
        <f t="shared" si="2"/>
        <v>806.64930555555554</v>
      </c>
      <c r="J34" s="29"/>
      <c r="K34" s="6">
        <f t="shared" si="3"/>
        <v>756.20022338772367</v>
      </c>
      <c r="L34" s="29"/>
      <c r="M34" s="6"/>
      <c r="N34" s="6"/>
      <c r="O34" s="6"/>
      <c r="P34" s="6"/>
      <c r="Q34" s="6"/>
    </row>
    <row r="35" spans="1:17" customFormat="1" x14ac:dyDescent="0.3">
      <c r="A35" s="1" t="s">
        <v>34</v>
      </c>
      <c r="B35" s="11" t="s">
        <v>42</v>
      </c>
      <c r="C35" s="12">
        <v>10</v>
      </c>
      <c r="D35" s="1">
        <v>750</v>
      </c>
      <c r="E35" s="13"/>
      <c r="F35" s="14"/>
      <c r="G35" s="6">
        <f t="shared" si="0"/>
        <v>-62.5</v>
      </c>
      <c r="H35" s="6">
        <f t="shared" si="1"/>
        <v>-60.8159722222222</v>
      </c>
      <c r="I35" s="6">
        <f t="shared" si="2"/>
        <v>810.81597222222217</v>
      </c>
      <c r="J35" s="29"/>
      <c r="K35" s="6">
        <f t="shared" si="3"/>
        <v>707.39559052059087</v>
      </c>
      <c r="L35" s="29"/>
      <c r="M35" s="6"/>
      <c r="N35" s="6"/>
      <c r="O35" s="6"/>
      <c r="P35" s="6"/>
      <c r="Q35" s="6"/>
    </row>
    <row r="36" spans="1:17" customFormat="1" x14ac:dyDescent="0.3">
      <c r="A36" s="1" t="s">
        <v>35</v>
      </c>
      <c r="B36" s="11" t="s">
        <v>42</v>
      </c>
      <c r="C36" s="12">
        <v>11</v>
      </c>
      <c r="D36" s="1">
        <v>780</v>
      </c>
      <c r="E36" s="13"/>
      <c r="F36" s="14"/>
      <c r="G36" s="6">
        <f t="shared" si="0"/>
        <v>-40.833333333333371</v>
      </c>
      <c r="H36" s="6">
        <f t="shared" si="1"/>
        <v>-39.149305555555571</v>
      </c>
      <c r="I36" s="6">
        <f t="shared" si="2"/>
        <v>819.14930555555554</v>
      </c>
      <c r="J36" s="29"/>
      <c r="K36" s="6">
        <f t="shared" si="3"/>
        <v>734.42429098679133</v>
      </c>
      <c r="L36" s="29"/>
      <c r="M36" s="6"/>
      <c r="N36" s="6"/>
      <c r="O36" s="6"/>
      <c r="P36" s="6"/>
      <c r="Q36" s="6"/>
    </row>
    <row r="37" spans="1:17" s="39" customFormat="1" x14ac:dyDescent="0.3">
      <c r="A37" s="33" t="s">
        <v>36</v>
      </c>
      <c r="B37" s="34" t="s">
        <v>42</v>
      </c>
      <c r="C37" s="35">
        <v>12</v>
      </c>
      <c r="D37" s="36">
        <v>1100</v>
      </c>
      <c r="E37" s="15"/>
      <c r="F37" s="16"/>
      <c r="G37" s="37">
        <f t="shared" si="0"/>
        <v>227.08333333333337</v>
      </c>
      <c r="H37" s="17">
        <f t="shared" si="1"/>
        <v>228.76736111111117</v>
      </c>
      <c r="I37" s="6">
        <f t="shared" si="2"/>
        <v>871.2326388888888</v>
      </c>
      <c r="J37" s="38"/>
      <c r="K37" s="6">
        <f t="shared" si="3"/>
        <v>1007.7029914529918</v>
      </c>
      <c r="L37" s="38"/>
      <c r="M37" s="17"/>
      <c r="N37" s="17"/>
      <c r="O37" s="17"/>
      <c r="P37" s="17"/>
      <c r="Q37" s="17"/>
    </row>
    <row r="38" spans="1:17" s="43" customFormat="1" x14ac:dyDescent="0.3">
      <c r="A38" s="40" t="s">
        <v>51</v>
      </c>
      <c r="B38" s="41"/>
      <c r="C38" s="42">
        <v>1</v>
      </c>
      <c r="H38" s="44">
        <f>H26</f>
        <v>-170.1909722222222</v>
      </c>
      <c r="I38" s="45"/>
      <c r="J38" s="45"/>
      <c r="L38" s="44">
        <f>SLOPE($I$2:$I$37,$C$2:$C$37)*C38+INTERCEPT($I$2:$I$37,$C$2:$C$37)+H38</f>
        <v>549.76228632478671</v>
      </c>
    </row>
    <row r="39" spans="1:17" s="45" customFormat="1" x14ac:dyDescent="0.3">
      <c r="A39" s="40" t="s">
        <v>52</v>
      </c>
      <c r="B39" s="46"/>
      <c r="C39" s="42">
        <v>2</v>
      </c>
      <c r="H39" s="44">
        <f t="shared" ref="H39:H50" si="7">H27</f>
        <v>-151.85763888888889</v>
      </c>
      <c r="L39" s="44">
        <f t="shared" ref="L39:L49" si="8">SLOPE($I$2:$I$37,$C$2:$C$37)*C39+INTERCEPT($I$2:$I$37,$C$2:$C$37)+H39</f>
        <v>573.45765345765369</v>
      </c>
    </row>
    <row r="40" spans="1:17" s="45" customFormat="1" x14ac:dyDescent="0.3">
      <c r="A40" s="40" t="s">
        <v>53</v>
      </c>
      <c r="B40" s="46"/>
      <c r="C40" s="42">
        <v>3</v>
      </c>
      <c r="H40" s="44">
        <f t="shared" si="7"/>
        <v>-130.8159722222222</v>
      </c>
      <c r="L40" s="44">
        <f t="shared" si="8"/>
        <v>599.86135392385427</v>
      </c>
    </row>
    <row r="41" spans="1:17" s="45" customFormat="1" x14ac:dyDescent="0.3">
      <c r="A41" s="40" t="s">
        <v>54</v>
      </c>
      <c r="B41" s="46"/>
      <c r="C41" s="42">
        <v>4</v>
      </c>
      <c r="H41" s="44">
        <f t="shared" si="7"/>
        <v>-88.3159722222222</v>
      </c>
      <c r="L41" s="44">
        <f t="shared" si="8"/>
        <v>647.7233877233881</v>
      </c>
    </row>
    <row r="42" spans="1:17" s="45" customFormat="1" x14ac:dyDescent="0.3">
      <c r="A42" s="40" t="s">
        <v>55</v>
      </c>
      <c r="B42" s="46"/>
      <c r="C42" s="42">
        <v>5</v>
      </c>
      <c r="H42" s="44">
        <f t="shared" si="7"/>
        <v>-52.482638888888886</v>
      </c>
      <c r="L42" s="44">
        <f t="shared" si="8"/>
        <v>688.91875485625508</v>
      </c>
    </row>
    <row r="43" spans="1:17" s="45" customFormat="1" x14ac:dyDescent="0.3">
      <c r="A43" s="40" t="s">
        <v>56</v>
      </c>
      <c r="B43" s="46"/>
      <c r="C43" s="42">
        <v>6</v>
      </c>
      <c r="H43" s="44">
        <f t="shared" si="7"/>
        <v>120.22569444444443</v>
      </c>
      <c r="L43" s="44">
        <f t="shared" si="8"/>
        <v>866.98912198912228</v>
      </c>
    </row>
    <row r="44" spans="1:17" s="45" customFormat="1" x14ac:dyDescent="0.3">
      <c r="A44" s="40" t="s">
        <v>57</v>
      </c>
      <c r="B44" s="46"/>
      <c r="C44" s="42">
        <v>7</v>
      </c>
      <c r="H44" s="44">
        <f t="shared" si="7"/>
        <v>202.9340277777778</v>
      </c>
      <c r="L44" s="44">
        <f t="shared" si="8"/>
        <v>955.05948912198949</v>
      </c>
    </row>
    <row r="45" spans="1:17" s="45" customFormat="1" x14ac:dyDescent="0.3">
      <c r="A45" s="40" t="s">
        <v>62</v>
      </c>
      <c r="B45" s="46"/>
      <c r="C45" s="42">
        <v>8</v>
      </c>
      <c r="H45" s="44">
        <f t="shared" si="7"/>
        <v>148.35069444444443</v>
      </c>
      <c r="L45" s="44">
        <f t="shared" si="8"/>
        <v>905.83818958818995</v>
      </c>
    </row>
    <row r="46" spans="1:17" s="45" customFormat="1" x14ac:dyDescent="0.3">
      <c r="A46" s="40" t="s">
        <v>58</v>
      </c>
      <c r="B46" s="46"/>
      <c r="C46" s="42">
        <v>9</v>
      </c>
      <c r="H46" s="44">
        <f t="shared" si="7"/>
        <v>-6.6493055555555713</v>
      </c>
      <c r="L46" s="44">
        <f t="shared" si="8"/>
        <v>756.20022338772367</v>
      </c>
    </row>
    <row r="47" spans="1:17" s="45" customFormat="1" x14ac:dyDescent="0.3">
      <c r="A47" s="40" t="s">
        <v>59</v>
      </c>
      <c r="B47" s="46"/>
      <c r="C47" s="42">
        <v>10</v>
      </c>
      <c r="H47" s="44">
        <f t="shared" si="7"/>
        <v>-60.8159722222222</v>
      </c>
      <c r="L47" s="44">
        <f t="shared" si="8"/>
        <v>707.39559052059087</v>
      </c>
    </row>
    <row r="48" spans="1:17" s="45" customFormat="1" x14ac:dyDescent="0.3">
      <c r="A48" s="40" t="s">
        <v>60</v>
      </c>
      <c r="B48" s="46"/>
      <c r="C48" s="42">
        <v>11</v>
      </c>
      <c r="H48" s="44">
        <f t="shared" si="7"/>
        <v>-39.149305555555571</v>
      </c>
      <c r="L48" s="44">
        <f t="shared" si="8"/>
        <v>734.42429098679133</v>
      </c>
    </row>
    <row r="49" spans="1:12" s="45" customFormat="1" x14ac:dyDescent="0.3">
      <c r="A49" s="40" t="s">
        <v>61</v>
      </c>
      <c r="B49" s="46"/>
      <c r="C49" s="42">
        <v>12</v>
      </c>
      <c r="H49" s="44">
        <f>H37</f>
        <v>228.76736111111117</v>
      </c>
      <c r="L49" s="44">
        <f t="shared" si="8"/>
        <v>1007.7029914529918</v>
      </c>
    </row>
    <row r="50" spans="1:12" x14ac:dyDescent="0.3">
      <c r="C50" s="10"/>
      <c r="H50" s="5"/>
      <c r="L50" s="5"/>
    </row>
    <row r="51" spans="1:12" x14ac:dyDescent="0.3">
      <c r="C51" s="10"/>
      <c r="H51" s="8"/>
      <c r="L51" s="5"/>
    </row>
    <row r="52" spans="1:12" x14ac:dyDescent="0.3">
      <c r="C52" s="10"/>
      <c r="H52" s="8"/>
      <c r="L52" s="5"/>
    </row>
    <row r="53" spans="1:12" x14ac:dyDescent="0.3">
      <c r="C53" s="10"/>
      <c r="H53" s="8"/>
      <c r="L53" s="5"/>
    </row>
    <row r="54" spans="1:12" x14ac:dyDescent="0.3">
      <c r="C54" s="10"/>
      <c r="H54" s="8"/>
      <c r="L54" s="5"/>
    </row>
    <row r="55" spans="1:12" x14ac:dyDescent="0.3">
      <c r="C55" s="10"/>
      <c r="H55" s="8"/>
      <c r="L55" s="5"/>
    </row>
    <row r="56" spans="1:12" x14ac:dyDescent="0.3">
      <c r="C56" s="10"/>
      <c r="H56" s="8"/>
      <c r="L56" s="5"/>
    </row>
    <row r="57" spans="1:12" x14ac:dyDescent="0.3">
      <c r="C57" s="10"/>
      <c r="H57" s="8"/>
      <c r="L57" s="5"/>
    </row>
    <row r="58" spans="1:12" x14ac:dyDescent="0.3">
      <c r="C58" s="10"/>
      <c r="H58" s="8"/>
      <c r="L58" s="5"/>
    </row>
    <row r="59" spans="1:12" x14ac:dyDescent="0.3">
      <c r="C59" s="10"/>
      <c r="H59" s="8"/>
      <c r="L59" s="5"/>
    </row>
    <row r="60" spans="1:12" x14ac:dyDescent="0.3">
      <c r="C60" s="10"/>
      <c r="H60" s="8"/>
      <c r="L60" s="5"/>
    </row>
    <row r="61" spans="1:12" x14ac:dyDescent="0.3">
      <c r="C61" s="10"/>
      <c r="H61" s="8"/>
      <c r="L61" s="5"/>
    </row>
    <row r="62" spans="1:12" x14ac:dyDescent="0.3">
      <c r="C62" s="10"/>
      <c r="H62" s="8"/>
      <c r="L62" s="5"/>
    </row>
    <row r="63" spans="1:12" x14ac:dyDescent="0.3">
      <c r="C63" s="10"/>
      <c r="H63" s="8"/>
      <c r="L63" s="5"/>
    </row>
    <row r="64" spans="1:12" x14ac:dyDescent="0.3">
      <c r="C64" s="10"/>
      <c r="H64" s="8"/>
      <c r="L64" s="5"/>
    </row>
    <row r="65" spans="3:12" x14ac:dyDescent="0.3">
      <c r="C65" s="10"/>
      <c r="H65" s="8"/>
      <c r="L65" s="5"/>
    </row>
    <row r="66" spans="3:12" x14ac:dyDescent="0.3">
      <c r="C66" s="10"/>
      <c r="H66" s="8"/>
      <c r="L66" s="5"/>
    </row>
    <row r="67" spans="3:12" x14ac:dyDescent="0.3">
      <c r="C67" s="10"/>
      <c r="H67" s="8"/>
      <c r="L67" s="5"/>
    </row>
    <row r="68" spans="3:12" x14ac:dyDescent="0.3">
      <c r="C68" s="10"/>
      <c r="H68" s="8"/>
      <c r="L68" s="5"/>
    </row>
    <row r="69" spans="3:12" x14ac:dyDescent="0.3">
      <c r="C69" s="10"/>
      <c r="H69" s="8"/>
      <c r="L69" s="5"/>
    </row>
    <row r="70" spans="3:12" x14ac:dyDescent="0.3">
      <c r="C70" s="10"/>
      <c r="H70" s="8"/>
      <c r="L70" s="5"/>
    </row>
    <row r="71" spans="3:12" x14ac:dyDescent="0.3">
      <c r="C71" s="10"/>
      <c r="H71" s="8"/>
      <c r="L71" s="5"/>
    </row>
    <row r="72" spans="3:12" x14ac:dyDescent="0.3">
      <c r="C72" s="10"/>
      <c r="H72" s="8"/>
      <c r="L72" s="5"/>
    </row>
    <row r="73" spans="3:12" x14ac:dyDescent="0.3">
      <c r="C73" s="10"/>
      <c r="H73" s="8"/>
      <c r="L73" s="5"/>
    </row>
    <row r="74" spans="3:12" x14ac:dyDescent="0.3">
      <c r="C74" s="10"/>
      <c r="H74" s="8"/>
      <c r="L74" s="5"/>
    </row>
    <row r="75" spans="3:12" x14ac:dyDescent="0.3">
      <c r="C75" s="10"/>
      <c r="H75" s="8"/>
      <c r="L75" s="5"/>
    </row>
    <row r="76" spans="3:12" x14ac:dyDescent="0.3">
      <c r="C76" s="10"/>
      <c r="H76" s="8"/>
      <c r="L76" s="5"/>
    </row>
    <row r="77" spans="3:12" x14ac:dyDescent="0.3">
      <c r="C77" s="10"/>
      <c r="H77" s="8"/>
      <c r="L77" s="5"/>
    </row>
    <row r="78" spans="3:12" x14ac:dyDescent="0.3">
      <c r="C78" s="10"/>
      <c r="H78" s="8"/>
      <c r="L78" s="5"/>
    </row>
    <row r="79" spans="3:12" x14ac:dyDescent="0.3">
      <c r="C79" s="10"/>
      <c r="H79" s="8"/>
      <c r="L79" s="5"/>
    </row>
    <row r="80" spans="3:12" x14ac:dyDescent="0.3">
      <c r="C80" s="10"/>
      <c r="H80" s="8"/>
      <c r="L80" s="5"/>
    </row>
    <row r="81" spans="3:12" x14ac:dyDescent="0.3">
      <c r="C81" s="10"/>
      <c r="H81" s="8"/>
      <c r="L81" s="5"/>
    </row>
    <row r="82" spans="3:12" x14ac:dyDescent="0.3">
      <c r="C82" s="10"/>
      <c r="H82" s="8"/>
      <c r="L82" s="5"/>
    </row>
    <row r="83" spans="3:12" x14ac:dyDescent="0.3">
      <c r="C83" s="10"/>
      <c r="H83" s="8"/>
      <c r="L83" s="5"/>
    </row>
    <row r="84" spans="3:12" x14ac:dyDescent="0.3">
      <c r="C84" s="10"/>
      <c r="H84" s="8"/>
      <c r="L84" s="5"/>
    </row>
    <row r="85" spans="3:12" x14ac:dyDescent="0.3">
      <c r="C85" s="10"/>
      <c r="H85" s="8"/>
      <c r="L85" s="5"/>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11" sqref="J11"/>
    </sheetView>
  </sheetViews>
  <sheetFormatPr baseColWidth="10"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14" sqref="B14"/>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Données</vt:lpstr>
      <vt:lpstr>transport_routier (procédés)</vt:lpstr>
      <vt:lpstr>Modèle additif</vt:lpstr>
      <vt:lpstr>commentaire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Muriel Rita ZOUZZOU</dc:creator>
  <cp:lastModifiedBy>Muriel Rita ZOUZZOU</cp:lastModifiedBy>
  <dcterms:created xsi:type="dcterms:W3CDTF">2025-02-15T14:58:43Z</dcterms:created>
  <dcterms:modified xsi:type="dcterms:W3CDTF">2025-02-21T11:10:45Z</dcterms:modified>
</cp:coreProperties>
</file>